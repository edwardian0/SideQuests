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mc2918_ic_ac_uk/Documents/CCC_Fellowships/shell_ML/data/raw/"/>
    </mc:Choice>
  </mc:AlternateContent>
  <xr:revisionPtr revIDLastSave="353" documentId="13_ncr:1_{A8E8CCE6-293B-6D49-AFB8-6F869E8AE2AD}" xr6:coauthVersionLast="47" xr6:coauthVersionMax="47" xr10:uidLastSave="{DCD23514-8BA6-574E-981B-CF140B378988}"/>
  <bookViews>
    <workbookView xWindow="2820" yWindow="2200" windowWidth="31000" windowHeight="19440" xr2:uid="{00000000-000D-0000-FFFF-FFFF00000000}"/>
  </bookViews>
  <sheets>
    <sheet name="ML Pipeline" sheetId="10" r:id="rId1"/>
    <sheet name="data" sheetId="1" r:id="rId2"/>
    <sheet name="Averages_LPRavg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2" l="1"/>
  <c r="N2" i="12"/>
  <c r="O2" i="12"/>
  <c r="I3" i="12"/>
  <c r="N3" i="12"/>
  <c r="O3" i="12"/>
  <c r="I4" i="12"/>
  <c r="N4" i="12"/>
  <c r="O4" i="12"/>
  <c r="I5" i="12"/>
  <c r="N5" i="12"/>
  <c r="O5" i="12"/>
  <c r="I6" i="12"/>
  <c r="N6" i="12"/>
  <c r="O6" i="12"/>
  <c r="I7" i="12"/>
  <c r="N7" i="12"/>
  <c r="O7" i="12"/>
  <c r="I8" i="12"/>
  <c r="N8" i="12"/>
  <c r="O8" i="12"/>
  <c r="I9" i="12"/>
  <c r="N9" i="12"/>
  <c r="O9" i="12"/>
  <c r="I10" i="12"/>
  <c r="N10" i="12"/>
  <c r="O10" i="12"/>
  <c r="I11" i="12"/>
  <c r="N11" i="12"/>
  <c r="O11" i="12"/>
  <c r="I12" i="12"/>
  <c r="N12" i="12"/>
  <c r="O12" i="12"/>
  <c r="I13" i="12"/>
  <c r="N13" i="12"/>
  <c r="O13" i="12"/>
  <c r="I14" i="12"/>
  <c r="N14" i="12"/>
  <c r="O14" i="12"/>
  <c r="I15" i="12"/>
  <c r="N15" i="12"/>
  <c r="O15" i="12"/>
  <c r="I16" i="12"/>
  <c r="N16" i="12"/>
  <c r="O16" i="12"/>
  <c r="I17" i="12"/>
  <c r="N17" i="12"/>
  <c r="O17" i="12"/>
  <c r="I18" i="12"/>
  <c r="N18" i="12"/>
  <c r="O18" i="12"/>
  <c r="I19" i="12"/>
  <c r="N19" i="12"/>
  <c r="O19" i="12"/>
  <c r="N20" i="12"/>
  <c r="O20" i="12"/>
  <c r="I21" i="12"/>
  <c r="N21" i="12"/>
  <c r="O21" i="12"/>
  <c r="I22" i="12"/>
  <c r="N22" i="12"/>
  <c r="O22" i="12"/>
  <c r="I23" i="12"/>
  <c r="N23" i="12"/>
  <c r="O23" i="12"/>
  <c r="I24" i="12"/>
  <c r="N24" i="12"/>
  <c r="O24" i="12"/>
  <c r="I25" i="12"/>
  <c r="N25" i="12"/>
  <c r="O25" i="12"/>
  <c r="I26" i="12"/>
  <c r="N26" i="12"/>
  <c r="O26" i="12"/>
  <c r="I27" i="12"/>
  <c r="N27" i="12"/>
  <c r="O27" i="12"/>
  <c r="I28" i="12"/>
  <c r="N28" i="12"/>
  <c r="O28" i="12"/>
  <c r="I29" i="12"/>
  <c r="N29" i="12"/>
  <c r="O29" i="12"/>
  <c r="I30" i="12"/>
  <c r="N30" i="12"/>
  <c r="O30" i="12"/>
  <c r="I31" i="12"/>
  <c r="N31" i="12"/>
  <c r="O31" i="12"/>
  <c r="I32" i="12"/>
  <c r="N32" i="12"/>
  <c r="O32" i="12"/>
  <c r="I33" i="12"/>
  <c r="N33" i="12"/>
  <c r="O33" i="12"/>
  <c r="I34" i="12"/>
  <c r="N34" i="12"/>
  <c r="O34" i="12"/>
  <c r="I35" i="12"/>
  <c r="N35" i="12"/>
  <c r="O35" i="12"/>
  <c r="I36" i="12"/>
  <c r="N36" i="12"/>
  <c r="O36" i="12"/>
  <c r="I37" i="12"/>
  <c r="N37" i="12"/>
  <c r="O37" i="12"/>
  <c r="I38" i="12"/>
  <c r="N38" i="12"/>
  <c r="O38" i="12"/>
  <c r="I39" i="12"/>
  <c r="N39" i="12"/>
  <c r="O39" i="12"/>
  <c r="I40" i="12"/>
  <c r="N40" i="12"/>
  <c r="O40" i="12"/>
  <c r="I41" i="12"/>
  <c r="N41" i="12"/>
  <c r="O41" i="12"/>
  <c r="I42" i="12"/>
  <c r="N42" i="12"/>
  <c r="O42" i="12"/>
  <c r="I43" i="12"/>
  <c r="N43" i="12"/>
  <c r="O43" i="12"/>
  <c r="I44" i="12"/>
  <c r="N44" i="12"/>
  <c r="O44" i="12"/>
  <c r="I45" i="12"/>
  <c r="N45" i="12"/>
  <c r="O45" i="12"/>
  <c r="I46" i="12"/>
  <c r="N46" i="12"/>
  <c r="O46" i="12"/>
  <c r="I47" i="12"/>
  <c r="N47" i="12"/>
  <c r="O47" i="12"/>
  <c r="N48" i="12"/>
  <c r="O48" i="12"/>
  <c r="I49" i="12"/>
  <c r="N49" i="12"/>
  <c r="O49" i="12"/>
  <c r="I50" i="12"/>
  <c r="N50" i="12"/>
  <c r="O50" i="12"/>
  <c r="I51" i="12"/>
  <c r="N51" i="12"/>
  <c r="O51" i="12"/>
  <c r="I52" i="12"/>
  <c r="N52" i="12"/>
  <c r="O52" i="12"/>
  <c r="I53" i="12"/>
  <c r="N53" i="12"/>
  <c r="O53" i="12"/>
  <c r="I54" i="12"/>
  <c r="N54" i="12"/>
  <c r="O54" i="12"/>
  <c r="I55" i="12"/>
  <c r="N55" i="12"/>
  <c r="O55" i="12"/>
  <c r="I56" i="12"/>
  <c r="N56" i="12"/>
  <c r="O56" i="12"/>
  <c r="I57" i="12"/>
  <c r="N57" i="12"/>
  <c r="O57" i="12"/>
  <c r="I58" i="12"/>
  <c r="N58" i="12"/>
  <c r="O58" i="12"/>
  <c r="I59" i="12"/>
  <c r="N59" i="12"/>
  <c r="O59" i="12"/>
  <c r="I60" i="12"/>
  <c r="N60" i="12"/>
  <c r="O60" i="12"/>
  <c r="I61" i="12"/>
  <c r="N61" i="12"/>
  <c r="O61" i="12"/>
  <c r="I62" i="12"/>
  <c r="N62" i="12"/>
  <c r="O62" i="12"/>
  <c r="I63" i="12"/>
  <c r="N63" i="12"/>
  <c r="O63" i="12"/>
  <c r="I64" i="12"/>
  <c r="N64" i="12"/>
  <c r="O64" i="12"/>
  <c r="I65" i="12"/>
  <c r="N65" i="12"/>
  <c r="O65" i="12"/>
  <c r="I66" i="12"/>
  <c r="N66" i="12"/>
  <c r="O66" i="12"/>
  <c r="I67" i="12"/>
  <c r="N67" i="12"/>
  <c r="O67" i="12"/>
  <c r="I68" i="12"/>
  <c r="N68" i="12"/>
  <c r="O68" i="12"/>
  <c r="I69" i="12"/>
  <c r="N69" i="12"/>
  <c r="O69" i="12"/>
  <c r="N70" i="12"/>
  <c r="O70" i="12"/>
  <c r="I71" i="12"/>
  <c r="N71" i="12"/>
  <c r="O71" i="12"/>
  <c r="AD221" i="1"/>
  <c r="AE221" i="1"/>
  <c r="AF221" i="1"/>
  <c r="AG221" i="1"/>
  <c r="AH221" i="1"/>
  <c r="AI221" i="1"/>
  <c r="AJ221" i="1"/>
  <c r="AK221" i="1"/>
  <c r="AM221" i="1" s="1"/>
  <c r="AN221" i="1"/>
  <c r="AO221" i="1" s="1"/>
  <c r="AD222" i="1"/>
  <c r="AE222" i="1"/>
  <c r="AF222" i="1"/>
  <c r="AG222" i="1"/>
  <c r="AH222" i="1"/>
  <c r="AI222" i="1"/>
  <c r="AJ222" i="1"/>
  <c r="AK222" i="1"/>
  <c r="AL222" i="1" s="1"/>
  <c r="AN222" i="1"/>
  <c r="AP222" i="1" s="1"/>
  <c r="AD223" i="1"/>
  <c r="AE223" i="1"/>
  <c r="AF223" i="1"/>
  <c r="AG223" i="1"/>
  <c r="AH223" i="1"/>
  <c r="AI223" i="1"/>
  <c r="AJ223" i="1"/>
  <c r="AK223" i="1"/>
  <c r="AM223" i="1" s="1"/>
  <c r="AN223" i="1"/>
  <c r="AO223" i="1" s="1"/>
  <c r="AD224" i="1"/>
  <c r="AE224" i="1"/>
  <c r="AF224" i="1"/>
  <c r="AG224" i="1"/>
  <c r="AH224" i="1"/>
  <c r="AI224" i="1"/>
  <c r="AJ224" i="1"/>
  <c r="AK224" i="1"/>
  <c r="AL224" i="1" s="1"/>
  <c r="AN224" i="1"/>
  <c r="AP224" i="1" s="1"/>
  <c r="AD225" i="1"/>
  <c r="AE225" i="1"/>
  <c r="AF225" i="1"/>
  <c r="AG225" i="1"/>
  <c r="AH225" i="1"/>
  <c r="AI225" i="1"/>
  <c r="AJ225" i="1"/>
  <c r="AK225" i="1"/>
  <c r="AL225" i="1" s="1"/>
  <c r="AN225" i="1"/>
  <c r="AO225" i="1" s="1"/>
  <c r="AD226" i="1"/>
  <c r="AE226" i="1"/>
  <c r="AF226" i="1"/>
  <c r="AG226" i="1"/>
  <c r="AH226" i="1"/>
  <c r="AI226" i="1"/>
  <c r="AJ226" i="1"/>
  <c r="AK226" i="1"/>
  <c r="AL226" i="1" s="1"/>
  <c r="AN226" i="1"/>
  <c r="AO226" i="1" s="1"/>
  <c r="AD227" i="1"/>
  <c r="AE227" i="1"/>
  <c r="AF227" i="1"/>
  <c r="AG227" i="1"/>
  <c r="AH227" i="1"/>
  <c r="AI227" i="1"/>
  <c r="AJ227" i="1"/>
  <c r="AK227" i="1"/>
  <c r="AM227" i="1" s="1"/>
  <c r="AN227" i="1"/>
  <c r="AO227" i="1" s="1"/>
  <c r="AD228" i="1"/>
  <c r="AE228" i="1"/>
  <c r="AF228" i="1"/>
  <c r="AG228" i="1"/>
  <c r="AH228" i="1"/>
  <c r="AI228" i="1"/>
  <c r="AJ228" i="1"/>
  <c r="AK228" i="1"/>
  <c r="AL228" i="1" s="1"/>
  <c r="AN228" i="1"/>
  <c r="AP228" i="1" s="1"/>
  <c r="AD229" i="1"/>
  <c r="AE229" i="1"/>
  <c r="AF229" i="1"/>
  <c r="AG229" i="1"/>
  <c r="AH229" i="1"/>
  <c r="AI229" i="1"/>
  <c r="AJ229" i="1"/>
  <c r="AK229" i="1"/>
  <c r="AM229" i="1" s="1"/>
  <c r="AN229" i="1"/>
  <c r="AO229" i="1" s="1"/>
  <c r="AD230" i="1"/>
  <c r="AE230" i="1"/>
  <c r="AF230" i="1"/>
  <c r="AG230" i="1"/>
  <c r="AH230" i="1"/>
  <c r="AI230" i="1"/>
  <c r="AJ230" i="1"/>
  <c r="AK230" i="1"/>
  <c r="AL230" i="1" s="1"/>
  <c r="AN230" i="1"/>
  <c r="AP230" i="1" s="1"/>
  <c r="AD231" i="1"/>
  <c r="AE231" i="1"/>
  <c r="AF231" i="1"/>
  <c r="AG231" i="1"/>
  <c r="AH231" i="1"/>
  <c r="AI231" i="1"/>
  <c r="AJ231" i="1"/>
  <c r="AK231" i="1"/>
  <c r="AM231" i="1" s="1"/>
  <c r="AN231" i="1"/>
  <c r="AO231" i="1" s="1"/>
  <c r="AD232" i="1"/>
  <c r="AE232" i="1"/>
  <c r="AF232" i="1"/>
  <c r="AG232" i="1"/>
  <c r="AH232" i="1"/>
  <c r="AI232" i="1"/>
  <c r="AJ232" i="1"/>
  <c r="AK232" i="1"/>
  <c r="AL232" i="1" s="1"/>
  <c r="AN232" i="1"/>
  <c r="AP232" i="1" s="1"/>
  <c r="AD233" i="1"/>
  <c r="AE233" i="1"/>
  <c r="AF233" i="1"/>
  <c r="AG233" i="1"/>
  <c r="AH233" i="1"/>
  <c r="AI233" i="1"/>
  <c r="AJ233" i="1"/>
  <c r="AK233" i="1"/>
  <c r="AL233" i="1" s="1"/>
  <c r="AN233" i="1"/>
  <c r="AO233" i="1" s="1"/>
  <c r="AD234" i="1"/>
  <c r="AE234" i="1"/>
  <c r="AF234" i="1"/>
  <c r="AG234" i="1"/>
  <c r="AH234" i="1"/>
  <c r="AI234" i="1"/>
  <c r="AJ234" i="1"/>
  <c r="AK234" i="1"/>
  <c r="AL234" i="1" s="1"/>
  <c r="AN234" i="1"/>
  <c r="AO234" i="1" s="1"/>
  <c r="AD235" i="1"/>
  <c r="AE235" i="1"/>
  <c r="AF235" i="1"/>
  <c r="AG235" i="1"/>
  <c r="AH235" i="1"/>
  <c r="AI235" i="1"/>
  <c r="AJ235" i="1"/>
  <c r="AK235" i="1"/>
  <c r="AM235" i="1" s="1"/>
  <c r="AN235" i="1"/>
  <c r="AO235" i="1" s="1"/>
  <c r="Q221" i="1"/>
  <c r="S221" i="1" s="1"/>
  <c r="Q222" i="1"/>
  <c r="S222" i="1" s="1"/>
  <c r="Q223" i="1"/>
  <c r="S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S229" i="1" s="1"/>
  <c r="Q230" i="1"/>
  <c r="S230" i="1" s="1"/>
  <c r="Q231" i="1"/>
  <c r="S231" i="1" s="1"/>
  <c r="Q232" i="1"/>
  <c r="R232" i="1" s="1"/>
  <c r="Q233" i="1"/>
  <c r="R233" i="1" s="1"/>
  <c r="Q234" i="1"/>
  <c r="R234" i="1" s="1"/>
  <c r="Q235" i="1"/>
  <c r="R235" i="1" s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AK173" i="1"/>
  <c r="AL173" i="1" s="1"/>
  <c r="AN173" i="1"/>
  <c r="AO173" i="1" s="1"/>
  <c r="AD173" i="1"/>
  <c r="AE173" i="1"/>
  <c r="AF173" i="1"/>
  <c r="AG173" i="1"/>
  <c r="AH173" i="1"/>
  <c r="AI173" i="1"/>
  <c r="AJ173" i="1"/>
  <c r="Q173" i="1"/>
  <c r="S173" i="1" s="1"/>
  <c r="O172" i="1"/>
  <c r="O173" i="1"/>
  <c r="I173" i="1"/>
  <c r="J173" i="1" s="1"/>
  <c r="L173" i="1" s="1"/>
  <c r="D173" i="1"/>
  <c r="E173" i="1" s="1"/>
  <c r="F173" i="1" s="1"/>
  <c r="I235" i="1"/>
  <c r="J235" i="1" s="1"/>
  <c r="L235" i="1" s="1"/>
  <c r="D235" i="1"/>
  <c r="E235" i="1" s="1"/>
  <c r="I234" i="1"/>
  <c r="J234" i="1" s="1"/>
  <c r="K234" i="1" s="1"/>
  <c r="D234" i="1"/>
  <c r="E234" i="1" s="1"/>
  <c r="F234" i="1" s="1"/>
  <c r="I233" i="1"/>
  <c r="J233" i="1" s="1"/>
  <c r="K233" i="1" s="1"/>
  <c r="D233" i="1"/>
  <c r="E233" i="1" s="1"/>
  <c r="I232" i="1"/>
  <c r="J232" i="1" s="1"/>
  <c r="D232" i="1"/>
  <c r="E232" i="1" s="1"/>
  <c r="F232" i="1" s="1"/>
  <c r="I231" i="1"/>
  <c r="J231" i="1" s="1"/>
  <c r="D231" i="1"/>
  <c r="E231" i="1" s="1"/>
  <c r="I230" i="1"/>
  <c r="J230" i="1" s="1"/>
  <c r="D230" i="1"/>
  <c r="E230" i="1" s="1"/>
  <c r="I229" i="1"/>
  <c r="J229" i="1" s="1"/>
  <c r="K229" i="1" s="1"/>
  <c r="D229" i="1"/>
  <c r="E229" i="1" s="1"/>
  <c r="F229" i="1" s="1"/>
  <c r="I228" i="1"/>
  <c r="J228" i="1" s="1"/>
  <c r="D228" i="1"/>
  <c r="E228" i="1" s="1"/>
  <c r="I227" i="1"/>
  <c r="J227" i="1" s="1"/>
  <c r="K227" i="1" s="1"/>
  <c r="D227" i="1"/>
  <c r="E227" i="1" s="1"/>
  <c r="I226" i="1"/>
  <c r="J226" i="1" s="1"/>
  <c r="K226" i="1" s="1"/>
  <c r="D226" i="1"/>
  <c r="E226" i="1" s="1"/>
  <c r="F226" i="1" s="1"/>
  <c r="I225" i="1"/>
  <c r="J225" i="1" s="1"/>
  <c r="D225" i="1"/>
  <c r="E225" i="1" s="1"/>
  <c r="F225" i="1" s="1"/>
  <c r="I224" i="1"/>
  <c r="J224" i="1" s="1"/>
  <c r="K224" i="1" s="1"/>
  <c r="D224" i="1"/>
  <c r="E224" i="1" s="1"/>
  <c r="F224" i="1" s="1"/>
  <c r="I223" i="1"/>
  <c r="J223" i="1" s="1"/>
  <c r="L223" i="1" s="1"/>
  <c r="D223" i="1"/>
  <c r="E223" i="1" s="1"/>
  <c r="I222" i="1"/>
  <c r="J222" i="1" s="1"/>
  <c r="D222" i="1"/>
  <c r="E222" i="1" s="1"/>
  <c r="I221" i="1"/>
  <c r="J221" i="1" s="1"/>
  <c r="K221" i="1" s="1"/>
  <c r="D221" i="1"/>
  <c r="E221" i="1" s="1"/>
  <c r="F221" i="1" s="1"/>
  <c r="AN179" i="1"/>
  <c r="AP179" i="1" s="1"/>
  <c r="AK179" i="1"/>
  <c r="AI179" i="1"/>
  <c r="AH179" i="1"/>
  <c r="AG179" i="1"/>
  <c r="AF179" i="1"/>
  <c r="AE179" i="1"/>
  <c r="AD179" i="1"/>
  <c r="Q179" i="1"/>
  <c r="S179" i="1" s="1"/>
  <c r="O179" i="1"/>
  <c r="I179" i="1"/>
  <c r="J179" i="1" s="1"/>
  <c r="D179" i="1"/>
  <c r="E179" i="1" s="1"/>
  <c r="G179" i="1" s="1"/>
  <c r="AF170" i="1"/>
  <c r="AN170" i="1"/>
  <c r="AP170" i="1" s="1"/>
  <c r="AK170" i="1"/>
  <c r="AM170" i="1" s="1"/>
  <c r="AJ170" i="1"/>
  <c r="AI170" i="1"/>
  <c r="AH170" i="1"/>
  <c r="AG170" i="1"/>
  <c r="AE170" i="1"/>
  <c r="AD170" i="1"/>
  <c r="Q170" i="1"/>
  <c r="S170" i="1" s="1"/>
  <c r="O170" i="1"/>
  <c r="I170" i="1"/>
  <c r="J170" i="1" s="1"/>
  <c r="D170" i="1"/>
  <c r="E170" i="1" s="1"/>
  <c r="G170" i="1" s="1"/>
  <c r="AN161" i="1"/>
  <c r="AP161" i="1" s="1"/>
  <c r="AJ161" i="1"/>
  <c r="AK161" i="1"/>
  <c r="AM161" i="1" s="1"/>
  <c r="AI161" i="1"/>
  <c r="AH161" i="1"/>
  <c r="AG161" i="1"/>
  <c r="AF161" i="1"/>
  <c r="AE161" i="1"/>
  <c r="AD161" i="1"/>
  <c r="Q161" i="1"/>
  <c r="S161" i="1" s="1"/>
  <c r="O161" i="1"/>
  <c r="I161" i="1"/>
  <c r="J161" i="1" s="1"/>
  <c r="D161" i="1"/>
  <c r="E161" i="1" s="1"/>
  <c r="G161" i="1" s="1"/>
  <c r="AD14" i="1"/>
  <c r="AE14" i="1"/>
  <c r="AF14" i="1"/>
  <c r="AG14" i="1"/>
  <c r="AH14" i="1"/>
  <c r="AI14" i="1"/>
  <c r="AJ14" i="1"/>
  <c r="AK14" i="1"/>
  <c r="AL14" i="1" s="1"/>
  <c r="AN14" i="1"/>
  <c r="AO14" i="1" s="1"/>
  <c r="I14" i="1"/>
  <c r="J14" i="1" s="1"/>
  <c r="D14" i="1"/>
  <c r="E14" i="1" s="1"/>
  <c r="F14" i="1" s="1"/>
  <c r="Q14" i="1"/>
  <c r="R14" i="1" s="1"/>
  <c r="D220" i="1"/>
  <c r="E220" i="1" s="1"/>
  <c r="F220" i="1" s="1"/>
  <c r="AJ5" i="1"/>
  <c r="AJ6" i="1"/>
  <c r="AJ7" i="1"/>
  <c r="AJ8" i="1"/>
  <c r="AJ9" i="1"/>
  <c r="AJ10" i="1"/>
  <c r="AJ11" i="1"/>
  <c r="AJ12" i="1"/>
  <c r="AJ13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2" i="1"/>
  <c r="AJ163" i="1"/>
  <c r="AJ164" i="1"/>
  <c r="AJ166" i="1"/>
  <c r="AJ167" i="1"/>
  <c r="AJ168" i="1"/>
  <c r="AJ169" i="1"/>
  <c r="AJ171" i="1"/>
  <c r="AJ172" i="1"/>
  <c r="AJ174" i="1"/>
  <c r="AJ175" i="1"/>
  <c r="AJ176" i="1"/>
  <c r="AJ177" i="1"/>
  <c r="AJ178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4" i="1"/>
  <c r="AI5" i="1"/>
  <c r="AI6" i="1"/>
  <c r="AI7" i="1"/>
  <c r="AI8" i="1"/>
  <c r="AI9" i="1"/>
  <c r="AI10" i="1"/>
  <c r="AI11" i="1"/>
  <c r="AI12" i="1"/>
  <c r="AI13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2" i="1"/>
  <c r="AI163" i="1"/>
  <c r="AI164" i="1"/>
  <c r="AI166" i="1"/>
  <c r="AI167" i="1"/>
  <c r="AI168" i="1"/>
  <c r="AI169" i="1"/>
  <c r="AI171" i="1"/>
  <c r="AI172" i="1"/>
  <c r="AI174" i="1"/>
  <c r="AI175" i="1"/>
  <c r="AI176" i="1"/>
  <c r="AI177" i="1"/>
  <c r="AI178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4" i="1"/>
  <c r="AH5" i="1"/>
  <c r="AH6" i="1"/>
  <c r="AH7" i="1"/>
  <c r="AH8" i="1"/>
  <c r="AH9" i="1"/>
  <c r="AH10" i="1"/>
  <c r="AH11" i="1"/>
  <c r="AH12" i="1"/>
  <c r="AH13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2" i="1"/>
  <c r="AH163" i="1"/>
  <c r="AH164" i="1"/>
  <c r="AH166" i="1"/>
  <c r="AH167" i="1"/>
  <c r="AH168" i="1"/>
  <c r="AH169" i="1"/>
  <c r="AH171" i="1"/>
  <c r="AH172" i="1"/>
  <c r="AH174" i="1"/>
  <c r="AH175" i="1"/>
  <c r="AH176" i="1"/>
  <c r="AH177" i="1"/>
  <c r="AH178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4" i="1"/>
  <c r="AG5" i="1"/>
  <c r="AG6" i="1"/>
  <c r="AG7" i="1"/>
  <c r="AG8" i="1"/>
  <c r="AG9" i="1"/>
  <c r="AG10" i="1"/>
  <c r="AG11" i="1"/>
  <c r="AG12" i="1"/>
  <c r="AG13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2" i="1"/>
  <c r="AG163" i="1"/>
  <c r="AG164" i="1"/>
  <c r="AG166" i="1"/>
  <c r="AG167" i="1"/>
  <c r="AG168" i="1"/>
  <c r="AG169" i="1"/>
  <c r="AG171" i="1"/>
  <c r="AG172" i="1"/>
  <c r="AG174" i="1"/>
  <c r="AG175" i="1"/>
  <c r="AG176" i="1"/>
  <c r="AG177" i="1"/>
  <c r="AG178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4" i="1"/>
  <c r="AF5" i="1"/>
  <c r="AF6" i="1"/>
  <c r="AF7" i="1"/>
  <c r="AF8" i="1"/>
  <c r="AF9" i="1"/>
  <c r="AF10" i="1"/>
  <c r="AF11" i="1"/>
  <c r="AF12" i="1"/>
  <c r="AF13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2" i="1"/>
  <c r="AF163" i="1"/>
  <c r="AF164" i="1"/>
  <c r="AF166" i="1"/>
  <c r="AF167" i="1"/>
  <c r="AF168" i="1"/>
  <c r="AF169" i="1"/>
  <c r="AF171" i="1"/>
  <c r="AF172" i="1"/>
  <c r="AF174" i="1"/>
  <c r="AF175" i="1"/>
  <c r="AF176" i="1"/>
  <c r="AF177" i="1"/>
  <c r="AF178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4" i="1"/>
  <c r="AE7" i="1"/>
  <c r="AE8" i="1"/>
  <c r="AE9" i="1"/>
  <c r="AE10" i="1"/>
  <c r="AE11" i="1"/>
  <c r="AE12" i="1"/>
  <c r="AE13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2" i="1"/>
  <c r="AE163" i="1"/>
  <c r="AE164" i="1"/>
  <c r="AE166" i="1"/>
  <c r="AE167" i="1"/>
  <c r="AE168" i="1"/>
  <c r="AE169" i="1"/>
  <c r="AE171" i="1"/>
  <c r="AE172" i="1"/>
  <c r="AE174" i="1"/>
  <c r="AE175" i="1"/>
  <c r="AE176" i="1"/>
  <c r="AE177" i="1"/>
  <c r="AE178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5" i="1"/>
  <c r="AE6" i="1"/>
  <c r="AE4" i="1"/>
  <c r="AD220" i="1"/>
  <c r="AD5" i="1"/>
  <c r="AD6" i="1"/>
  <c r="AD7" i="1"/>
  <c r="AD8" i="1"/>
  <c r="AD9" i="1"/>
  <c r="AD10" i="1"/>
  <c r="AD11" i="1"/>
  <c r="AD12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2" i="1"/>
  <c r="AD163" i="1"/>
  <c r="AD164" i="1"/>
  <c r="AD166" i="1"/>
  <c r="AD167" i="1"/>
  <c r="AD168" i="1"/>
  <c r="AD169" i="1"/>
  <c r="AD171" i="1"/>
  <c r="AD172" i="1"/>
  <c r="AD174" i="1"/>
  <c r="AD175" i="1"/>
  <c r="AD176" i="1"/>
  <c r="AD177" i="1"/>
  <c r="AD178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4" i="1"/>
  <c r="Q5" i="1"/>
  <c r="R5" i="1" s="1"/>
  <c r="AK220" i="1"/>
  <c r="AL220" i="1" s="1"/>
  <c r="AK93" i="1"/>
  <c r="AL93" i="1" s="1"/>
  <c r="AN93" i="1"/>
  <c r="AO93" i="1" s="1"/>
  <c r="AK94" i="1"/>
  <c r="AL94" i="1" s="1"/>
  <c r="AN94" i="1"/>
  <c r="AO94" i="1" s="1"/>
  <c r="AK95" i="1"/>
  <c r="AL95" i="1" s="1"/>
  <c r="AN95" i="1"/>
  <c r="AO95" i="1" s="1"/>
  <c r="AK96" i="1"/>
  <c r="AL96" i="1" s="1"/>
  <c r="AN96" i="1"/>
  <c r="AO96" i="1" s="1"/>
  <c r="AK97" i="1"/>
  <c r="AL97" i="1" s="1"/>
  <c r="AN97" i="1"/>
  <c r="AO97" i="1" s="1"/>
  <c r="AK98" i="1"/>
  <c r="AL98" i="1" s="1"/>
  <c r="AN98" i="1"/>
  <c r="AO98" i="1" s="1"/>
  <c r="AK99" i="1"/>
  <c r="AL99" i="1" s="1"/>
  <c r="AN99" i="1"/>
  <c r="AO99" i="1" s="1"/>
  <c r="AK100" i="1"/>
  <c r="AL100" i="1" s="1"/>
  <c r="AN100" i="1"/>
  <c r="AO100" i="1" s="1"/>
  <c r="AK101" i="1"/>
  <c r="AL101" i="1" s="1"/>
  <c r="AN101" i="1"/>
  <c r="AO101" i="1" s="1"/>
  <c r="AK102" i="1"/>
  <c r="AL102" i="1" s="1"/>
  <c r="AN102" i="1"/>
  <c r="AO102" i="1" s="1"/>
  <c r="AK103" i="1"/>
  <c r="AL103" i="1" s="1"/>
  <c r="AN103" i="1"/>
  <c r="AO103" i="1" s="1"/>
  <c r="AK104" i="1"/>
  <c r="AL104" i="1" s="1"/>
  <c r="AN104" i="1"/>
  <c r="AO104" i="1" s="1"/>
  <c r="AK105" i="1"/>
  <c r="AL105" i="1" s="1"/>
  <c r="AN105" i="1"/>
  <c r="AO105" i="1" s="1"/>
  <c r="AK106" i="1"/>
  <c r="AL106" i="1" s="1"/>
  <c r="AN106" i="1"/>
  <c r="AO106" i="1" s="1"/>
  <c r="AK107" i="1"/>
  <c r="AL107" i="1" s="1"/>
  <c r="AN107" i="1"/>
  <c r="AO107" i="1" s="1"/>
  <c r="AK108" i="1"/>
  <c r="AL108" i="1" s="1"/>
  <c r="AN108" i="1"/>
  <c r="AO108" i="1" s="1"/>
  <c r="AK109" i="1"/>
  <c r="AL109" i="1" s="1"/>
  <c r="AN109" i="1"/>
  <c r="AO109" i="1" s="1"/>
  <c r="AK110" i="1"/>
  <c r="AL110" i="1" s="1"/>
  <c r="AN110" i="1"/>
  <c r="AO110" i="1" s="1"/>
  <c r="AK111" i="1"/>
  <c r="AL111" i="1" s="1"/>
  <c r="AN111" i="1"/>
  <c r="AO111" i="1" s="1"/>
  <c r="AK112" i="1"/>
  <c r="AL112" i="1" s="1"/>
  <c r="AN112" i="1"/>
  <c r="AO112" i="1" s="1"/>
  <c r="AK113" i="1"/>
  <c r="AL113" i="1" s="1"/>
  <c r="AN113" i="1"/>
  <c r="AO113" i="1" s="1"/>
  <c r="AK114" i="1"/>
  <c r="AL114" i="1" s="1"/>
  <c r="AN114" i="1"/>
  <c r="AO114" i="1" s="1"/>
  <c r="AK115" i="1"/>
  <c r="AL115" i="1" s="1"/>
  <c r="AN115" i="1"/>
  <c r="AO115" i="1" s="1"/>
  <c r="AK116" i="1"/>
  <c r="AL116" i="1" s="1"/>
  <c r="AN116" i="1"/>
  <c r="AO116" i="1" s="1"/>
  <c r="AK117" i="1"/>
  <c r="AL117" i="1" s="1"/>
  <c r="AN117" i="1"/>
  <c r="AO117" i="1" s="1"/>
  <c r="AK118" i="1"/>
  <c r="AL118" i="1" s="1"/>
  <c r="AN118" i="1"/>
  <c r="AO118" i="1" s="1"/>
  <c r="AK119" i="1"/>
  <c r="AL119" i="1" s="1"/>
  <c r="AN119" i="1"/>
  <c r="AO119" i="1" s="1"/>
  <c r="AK120" i="1"/>
  <c r="AL120" i="1" s="1"/>
  <c r="AN120" i="1"/>
  <c r="AO120" i="1" s="1"/>
  <c r="AK121" i="1"/>
  <c r="AL121" i="1" s="1"/>
  <c r="AN121" i="1"/>
  <c r="AO121" i="1" s="1"/>
  <c r="AK122" i="1"/>
  <c r="AL122" i="1" s="1"/>
  <c r="AN122" i="1"/>
  <c r="AO122" i="1" s="1"/>
  <c r="AK123" i="1"/>
  <c r="AL123" i="1" s="1"/>
  <c r="AN123" i="1"/>
  <c r="AO123" i="1" s="1"/>
  <c r="AK124" i="1"/>
  <c r="AL124" i="1" s="1"/>
  <c r="AN124" i="1"/>
  <c r="AO124" i="1" s="1"/>
  <c r="AK125" i="1"/>
  <c r="AL125" i="1" s="1"/>
  <c r="AN125" i="1"/>
  <c r="AO125" i="1" s="1"/>
  <c r="AK126" i="1"/>
  <c r="AL126" i="1" s="1"/>
  <c r="AN126" i="1"/>
  <c r="AO126" i="1" s="1"/>
  <c r="AK127" i="1"/>
  <c r="AL127" i="1" s="1"/>
  <c r="AN127" i="1"/>
  <c r="AO127" i="1" s="1"/>
  <c r="AK128" i="1"/>
  <c r="AL128" i="1" s="1"/>
  <c r="AN128" i="1"/>
  <c r="AO128" i="1" s="1"/>
  <c r="AK129" i="1"/>
  <c r="AL129" i="1" s="1"/>
  <c r="AN129" i="1"/>
  <c r="AO129" i="1" s="1"/>
  <c r="AK130" i="1"/>
  <c r="AL130" i="1" s="1"/>
  <c r="AN130" i="1"/>
  <c r="AO130" i="1" s="1"/>
  <c r="AK131" i="1"/>
  <c r="AL131" i="1" s="1"/>
  <c r="AN131" i="1"/>
  <c r="AO131" i="1" s="1"/>
  <c r="AK132" i="1"/>
  <c r="AL132" i="1" s="1"/>
  <c r="AN132" i="1"/>
  <c r="AO132" i="1" s="1"/>
  <c r="AK133" i="1"/>
  <c r="AL133" i="1" s="1"/>
  <c r="AN133" i="1"/>
  <c r="AO133" i="1" s="1"/>
  <c r="AK134" i="1"/>
  <c r="AL134" i="1" s="1"/>
  <c r="AN134" i="1"/>
  <c r="AO134" i="1" s="1"/>
  <c r="AK135" i="1"/>
  <c r="AL135" i="1" s="1"/>
  <c r="AN135" i="1"/>
  <c r="AO135" i="1" s="1"/>
  <c r="AK136" i="1"/>
  <c r="AL136" i="1" s="1"/>
  <c r="AN136" i="1"/>
  <c r="AO136" i="1" s="1"/>
  <c r="AK137" i="1"/>
  <c r="AL137" i="1" s="1"/>
  <c r="AN137" i="1"/>
  <c r="AO137" i="1" s="1"/>
  <c r="AK138" i="1"/>
  <c r="AL138" i="1" s="1"/>
  <c r="AN138" i="1"/>
  <c r="AO138" i="1" s="1"/>
  <c r="AK139" i="1"/>
  <c r="AL139" i="1" s="1"/>
  <c r="AN139" i="1"/>
  <c r="AO139" i="1" s="1"/>
  <c r="AK140" i="1"/>
  <c r="AL140" i="1" s="1"/>
  <c r="AN140" i="1"/>
  <c r="AO140" i="1" s="1"/>
  <c r="AK141" i="1"/>
  <c r="AL141" i="1" s="1"/>
  <c r="AN141" i="1"/>
  <c r="AO141" i="1" s="1"/>
  <c r="AK142" i="1"/>
  <c r="AL142" i="1" s="1"/>
  <c r="AN142" i="1"/>
  <c r="AO142" i="1" s="1"/>
  <c r="AK143" i="1"/>
  <c r="AL143" i="1" s="1"/>
  <c r="AN143" i="1"/>
  <c r="AO143" i="1" s="1"/>
  <c r="AK144" i="1"/>
  <c r="AL144" i="1" s="1"/>
  <c r="AN144" i="1"/>
  <c r="AO144" i="1" s="1"/>
  <c r="AK145" i="1"/>
  <c r="AL145" i="1" s="1"/>
  <c r="AN145" i="1"/>
  <c r="AO145" i="1" s="1"/>
  <c r="AK146" i="1"/>
  <c r="AL146" i="1" s="1"/>
  <c r="AN146" i="1"/>
  <c r="AO146" i="1" s="1"/>
  <c r="AK147" i="1"/>
  <c r="AL147" i="1" s="1"/>
  <c r="AN147" i="1"/>
  <c r="AO147" i="1" s="1"/>
  <c r="AK148" i="1"/>
  <c r="AL148" i="1" s="1"/>
  <c r="AN148" i="1"/>
  <c r="AO148" i="1" s="1"/>
  <c r="AK149" i="1"/>
  <c r="AL149" i="1" s="1"/>
  <c r="AN149" i="1"/>
  <c r="AO149" i="1" s="1"/>
  <c r="AK150" i="1"/>
  <c r="AL150" i="1" s="1"/>
  <c r="AN150" i="1"/>
  <c r="AO150" i="1" s="1"/>
  <c r="AK151" i="1"/>
  <c r="AL151" i="1" s="1"/>
  <c r="AN151" i="1"/>
  <c r="AO151" i="1" s="1"/>
  <c r="AK152" i="1"/>
  <c r="AL152" i="1" s="1"/>
  <c r="AN152" i="1"/>
  <c r="AO152" i="1" s="1"/>
  <c r="AK153" i="1"/>
  <c r="AL153" i="1" s="1"/>
  <c r="AN153" i="1"/>
  <c r="AO153" i="1" s="1"/>
  <c r="AK154" i="1"/>
  <c r="AL154" i="1" s="1"/>
  <c r="AN154" i="1"/>
  <c r="AO154" i="1" s="1"/>
  <c r="AK155" i="1"/>
  <c r="AL155" i="1" s="1"/>
  <c r="AN155" i="1"/>
  <c r="AO155" i="1" s="1"/>
  <c r="AK156" i="1"/>
  <c r="AL156" i="1" s="1"/>
  <c r="AN156" i="1"/>
  <c r="AO156" i="1" s="1"/>
  <c r="AK157" i="1"/>
  <c r="AL157" i="1" s="1"/>
  <c r="AN157" i="1"/>
  <c r="AO157" i="1" s="1"/>
  <c r="AK158" i="1"/>
  <c r="AL158" i="1" s="1"/>
  <c r="AN158" i="1"/>
  <c r="AO158" i="1" s="1"/>
  <c r="AK159" i="1"/>
  <c r="AL159" i="1" s="1"/>
  <c r="AN159" i="1"/>
  <c r="AO159" i="1" s="1"/>
  <c r="AK160" i="1"/>
  <c r="AL160" i="1" s="1"/>
  <c r="AN160" i="1"/>
  <c r="AO160" i="1" s="1"/>
  <c r="AK162" i="1"/>
  <c r="AL162" i="1" s="1"/>
  <c r="AN162" i="1"/>
  <c r="AO162" i="1" s="1"/>
  <c r="AK163" i="1"/>
  <c r="AL163" i="1" s="1"/>
  <c r="AN163" i="1"/>
  <c r="AO163" i="1" s="1"/>
  <c r="AK164" i="1"/>
  <c r="AL164" i="1" s="1"/>
  <c r="AN164" i="1"/>
  <c r="AO164" i="1" s="1"/>
  <c r="AK166" i="1"/>
  <c r="AL166" i="1" s="1"/>
  <c r="AN166" i="1"/>
  <c r="AO166" i="1" s="1"/>
  <c r="AK167" i="1"/>
  <c r="AL167" i="1" s="1"/>
  <c r="AN167" i="1"/>
  <c r="AO167" i="1" s="1"/>
  <c r="AK168" i="1"/>
  <c r="AL168" i="1" s="1"/>
  <c r="AN168" i="1"/>
  <c r="AO168" i="1" s="1"/>
  <c r="AK169" i="1"/>
  <c r="AL169" i="1" s="1"/>
  <c r="AN169" i="1"/>
  <c r="AO169" i="1" s="1"/>
  <c r="AK171" i="1"/>
  <c r="AL171" i="1" s="1"/>
  <c r="AN171" i="1"/>
  <c r="AO171" i="1" s="1"/>
  <c r="AK172" i="1"/>
  <c r="AL172" i="1" s="1"/>
  <c r="AN172" i="1"/>
  <c r="AO172" i="1" s="1"/>
  <c r="AK174" i="1"/>
  <c r="AL174" i="1" s="1"/>
  <c r="AN174" i="1"/>
  <c r="AO174" i="1" s="1"/>
  <c r="AK175" i="1"/>
  <c r="AL175" i="1" s="1"/>
  <c r="AN175" i="1"/>
  <c r="AO175" i="1" s="1"/>
  <c r="AK176" i="1"/>
  <c r="AL176" i="1" s="1"/>
  <c r="AN176" i="1"/>
  <c r="AO176" i="1" s="1"/>
  <c r="AK177" i="1"/>
  <c r="AL177" i="1" s="1"/>
  <c r="AN177" i="1"/>
  <c r="AO177" i="1" s="1"/>
  <c r="AK178" i="1"/>
  <c r="AL178" i="1" s="1"/>
  <c r="AN178" i="1"/>
  <c r="AO178" i="1" s="1"/>
  <c r="AK180" i="1"/>
  <c r="AL180" i="1" s="1"/>
  <c r="AN180" i="1"/>
  <c r="AO180" i="1" s="1"/>
  <c r="AK181" i="1"/>
  <c r="AL181" i="1" s="1"/>
  <c r="AN181" i="1"/>
  <c r="AO181" i="1" s="1"/>
  <c r="AK182" i="1"/>
  <c r="AL182" i="1" s="1"/>
  <c r="AN182" i="1"/>
  <c r="AO182" i="1" s="1"/>
  <c r="AK183" i="1"/>
  <c r="AL183" i="1" s="1"/>
  <c r="AN183" i="1"/>
  <c r="AO183" i="1" s="1"/>
  <c r="AK184" i="1"/>
  <c r="AL184" i="1" s="1"/>
  <c r="AN184" i="1"/>
  <c r="AO184" i="1" s="1"/>
  <c r="AK185" i="1"/>
  <c r="AL185" i="1" s="1"/>
  <c r="AN185" i="1"/>
  <c r="AO185" i="1" s="1"/>
  <c r="AK186" i="1"/>
  <c r="AL186" i="1" s="1"/>
  <c r="AN186" i="1"/>
  <c r="AO186" i="1" s="1"/>
  <c r="AK187" i="1"/>
  <c r="AL187" i="1" s="1"/>
  <c r="AN187" i="1"/>
  <c r="AO187" i="1" s="1"/>
  <c r="AK188" i="1"/>
  <c r="AL188" i="1" s="1"/>
  <c r="AN188" i="1"/>
  <c r="AO188" i="1" s="1"/>
  <c r="AK189" i="1"/>
  <c r="AL189" i="1" s="1"/>
  <c r="AN189" i="1"/>
  <c r="AO189" i="1" s="1"/>
  <c r="AK190" i="1"/>
  <c r="AL190" i="1" s="1"/>
  <c r="AN190" i="1"/>
  <c r="AO190" i="1" s="1"/>
  <c r="AK191" i="1"/>
  <c r="AL191" i="1" s="1"/>
  <c r="AN191" i="1"/>
  <c r="AO191" i="1" s="1"/>
  <c r="AK192" i="1"/>
  <c r="AL192" i="1" s="1"/>
  <c r="AN192" i="1"/>
  <c r="AO192" i="1" s="1"/>
  <c r="AK193" i="1"/>
  <c r="AL193" i="1" s="1"/>
  <c r="AN193" i="1"/>
  <c r="AO193" i="1" s="1"/>
  <c r="AK194" i="1"/>
  <c r="AL194" i="1" s="1"/>
  <c r="AN194" i="1"/>
  <c r="AO194" i="1" s="1"/>
  <c r="AK195" i="1"/>
  <c r="AL195" i="1" s="1"/>
  <c r="AN195" i="1"/>
  <c r="AO195" i="1" s="1"/>
  <c r="AK196" i="1"/>
  <c r="AL196" i="1" s="1"/>
  <c r="AN196" i="1"/>
  <c r="AO196" i="1" s="1"/>
  <c r="AK197" i="1"/>
  <c r="AL197" i="1" s="1"/>
  <c r="AN197" i="1"/>
  <c r="AO197" i="1" s="1"/>
  <c r="AK198" i="1"/>
  <c r="AL198" i="1" s="1"/>
  <c r="AN198" i="1"/>
  <c r="AO198" i="1" s="1"/>
  <c r="AK199" i="1"/>
  <c r="AL199" i="1" s="1"/>
  <c r="AN199" i="1"/>
  <c r="AO199" i="1" s="1"/>
  <c r="AK200" i="1"/>
  <c r="AL200" i="1" s="1"/>
  <c r="AN200" i="1"/>
  <c r="AO200" i="1" s="1"/>
  <c r="AK201" i="1"/>
  <c r="AL201" i="1" s="1"/>
  <c r="AN201" i="1"/>
  <c r="AO201" i="1" s="1"/>
  <c r="AK202" i="1"/>
  <c r="AL202" i="1" s="1"/>
  <c r="AN202" i="1"/>
  <c r="AO202" i="1" s="1"/>
  <c r="AK203" i="1"/>
  <c r="AL203" i="1" s="1"/>
  <c r="AN203" i="1"/>
  <c r="AO203" i="1" s="1"/>
  <c r="AK204" i="1"/>
  <c r="AL204" i="1" s="1"/>
  <c r="AN204" i="1"/>
  <c r="AO204" i="1" s="1"/>
  <c r="AK205" i="1"/>
  <c r="AL205" i="1" s="1"/>
  <c r="AN205" i="1"/>
  <c r="AO205" i="1" s="1"/>
  <c r="AK206" i="1"/>
  <c r="AL206" i="1" s="1"/>
  <c r="AN206" i="1"/>
  <c r="AO206" i="1" s="1"/>
  <c r="AK207" i="1"/>
  <c r="AM207" i="1" s="1"/>
  <c r="AN207" i="1"/>
  <c r="AO207" i="1" s="1"/>
  <c r="AK208" i="1"/>
  <c r="AL208" i="1" s="1"/>
  <c r="AN208" i="1"/>
  <c r="AO208" i="1" s="1"/>
  <c r="AK209" i="1"/>
  <c r="AL209" i="1" s="1"/>
  <c r="AN209" i="1"/>
  <c r="AO209" i="1" s="1"/>
  <c r="AK210" i="1"/>
  <c r="AL210" i="1" s="1"/>
  <c r="AN210" i="1"/>
  <c r="AO210" i="1" s="1"/>
  <c r="AK211" i="1"/>
  <c r="AL211" i="1" s="1"/>
  <c r="AN211" i="1"/>
  <c r="AO211" i="1" s="1"/>
  <c r="AK212" i="1"/>
  <c r="AL212" i="1" s="1"/>
  <c r="AN212" i="1"/>
  <c r="AO212" i="1" s="1"/>
  <c r="AK213" i="1"/>
  <c r="AL213" i="1" s="1"/>
  <c r="AN213" i="1"/>
  <c r="AO213" i="1" s="1"/>
  <c r="AK214" i="1"/>
  <c r="AL214" i="1" s="1"/>
  <c r="AN214" i="1"/>
  <c r="AO214" i="1" s="1"/>
  <c r="AK215" i="1"/>
  <c r="AL215" i="1" s="1"/>
  <c r="AN215" i="1"/>
  <c r="AO215" i="1" s="1"/>
  <c r="AK216" i="1"/>
  <c r="AL216" i="1" s="1"/>
  <c r="AN216" i="1"/>
  <c r="AO216" i="1" s="1"/>
  <c r="AK217" i="1"/>
  <c r="AL217" i="1" s="1"/>
  <c r="AN217" i="1"/>
  <c r="AO217" i="1" s="1"/>
  <c r="AK218" i="1"/>
  <c r="AL218" i="1" s="1"/>
  <c r="AN218" i="1"/>
  <c r="AO218" i="1" s="1"/>
  <c r="AK219" i="1"/>
  <c r="AL219" i="1" s="1"/>
  <c r="AN219" i="1"/>
  <c r="AO219" i="1" s="1"/>
  <c r="AN220" i="1"/>
  <c r="AO220" i="1" s="1"/>
  <c r="AK73" i="1"/>
  <c r="AL73" i="1" s="1"/>
  <c r="AN73" i="1"/>
  <c r="AO73" i="1" s="1"/>
  <c r="AK74" i="1"/>
  <c r="AL74" i="1" s="1"/>
  <c r="AN74" i="1"/>
  <c r="AO74" i="1" s="1"/>
  <c r="AK75" i="1"/>
  <c r="AL75" i="1" s="1"/>
  <c r="AN75" i="1"/>
  <c r="AO75" i="1" s="1"/>
  <c r="AK76" i="1"/>
  <c r="AL76" i="1" s="1"/>
  <c r="AN76" i="1"/>
  <c r="AO76" i="1" s="1"/>
  <c r="AK77" i="1"/>
  <c r="AL77" i="1" s="1"/>
  <c r="AN77" i="1"/>
  <c r="AO77" i="1" s="1"/>
  <c r="AK78" i="1"/>
  <c r="AL78" i="1" s="1"/>
  <c r="AN78" i="1"/>
  <c r="AO78" i="1" s="1"/>
  <c r="AK79" i="1"/>
  <c r="AL79" i="1" s="1"/>
  <c r="AN79" i="1"/>
  <c r="AO79" i="1" s="1"/>
  <c r="AK80" i="1"/>
  <c r="AL80" i="1" s="1"/>
  <c r="AN80" i="1"/>
  <c r="AO80" i="1" s="1"/>
  <c r="AK81" i="1"/>
  <c r="AL81" i="1" s="1"/>
  <c r="AN81" i="1"/>
  <c r="AO81" i="1" s="1"/>
  <c r="AK82" i="1"/>
  <c r="AL82" i="1" s="1"/>
  <c r="AN82" i="1"/>
  <c r="AO82" i="1" s="1"/>
  <c r="AK83" i="1"/>
  <c r="AL83" i="1" s="1"/>
  <c r="AN83" i="1"/>
  <c r="AO83" i="1" s="1"/>
  <c r="AK84" i="1"/>
  <c r="AL84" i="1" s="1"/>
  <c r="AN84" i="1"/>
  <c r="AO84" i="1" s="1"/>
  <c r="AK85" i="1"/>
  <c r="AL85" i="1" s="1"/>
  <c r="AN85" i="1"/>
  <c r="AO85" i="1" s="1"/>
  <c r="AK86" i="1"/>
  <c r="AL86" i="1" s="1"/>
  <c r="AN86" i="1"/>
  <c r="AO86" i="1" s="1"/>
  <c r="AK87" i="1"/>
  <c r="AL87" i="1" s="1"/>
  <c r="AN87" i="1"/>
  <c r="AO87" i="1" s="1"/>
  <c r="AK88" i="1"/>
  <c r="AL88" i="1" s="1"/>
  <c r="AN88" i="1"/>
  <c r="AO88" i="1" s="1"/>
  <c r="AK89" i="1"/>
  <c r="AL89" i="1" s="1"/>
  <c r="AN89" i="1"/>
  <c r="AO89" i="1" s="1"/>
  <c r="AK90" i="1"/>
  <c r="AL90" i="1" s="1"/>
  <c r="AN90" i="1"/>
  <c r="AO90" i="1" s="1"/>
  <c r="AK91" i="1"/>
  <c r="AL91" i="1" s="1"/>
  <c r="AN91" i="1"/>
  <c r="AO91" i="1" s="1"/>
  <c r="AK92" i="1"/>
  <c r="AL92" i="1" s="1"/>
  <c r="AN92" i="1"/>
  <c r="AO92" i="1" s="1"/>
  <c r="AK66" i="1"/>
  <c r="AL66" i="1" s="1"/>
  <c r="AN66" i="1"/>
  <c r="AO66" i="1" s="1"/>
  <c r="AK67" i="1"/>
  <c r="AL67" i="1" s="1"/>
  <c r="AN67" i="1"/>
  <c r="AO67" i="1" s="1"/>
  <c r="AK68" i="1"/>
  <c r="AL68" i="1" s="1"/>
  <c r="AN68" i="1"/>
  <c r="AO68" i="1" s="1"/>
  <c r="AK69" i="1"/>
  <c r="AL69" i="1" s="1"/>
  <c r="AN69" i="1"/>
  <c r="AO69" i="1" s="1"/>
  <c r="AK70" i="1"/>
  <c r="AL70" i="1" s="1"/>
  <c r="AN70" i="1"/>
  <c r="AO70" i="1" s="1"/>
  <c r="AK71" i="1"/>
  <c r="AL71" i="1" s="1"/>
  <c r="AN71" i="1"/>
  <c r="AO71" i="1" s="1"/>
  <c r="AK72" i="1"/>
  <c r="AL72" i="1" s="1"/>
  <c r="AN72" i="1"/>
  <c r="AO72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1" i="1"/>
  <c r="R171" i="1" s="1"/>
  <c r="Q172" i="1"/>
  <c r="R172" i="1" s="1"/>
  <c r="Q174" i="1"/>
  <c r="R174" i="1" s="1"/>
  <c r="Q175" i="1"/>
  <c r="R175" i="1" s="1"/>
  <c r="Q176" i="1"/>
  <c r="R176" i="1" s="1"/>
  <c r="Q177" i="1"/>
  <c r="R177" i="1" s="1"/>
  <c r="Q178" i="1"/>
  <c r="R178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2" i="1"/>
  <c r="O163" i="1"/>
  <c r="O164" i="1"/>
  <c r="O165" i="1"/>
  <c r="O166" i="1"/>
  <c r="O167" i="1"/>
  <c r="O168" i="1"/>
  <c r="O169" i="1"/>
  <c r="O171" i="1"/>
  <c r="O174" i="1"/>
  <c r="O175" i="1"/>
  <c r="O176" i="1"/>
  <c r="O177" i="1"/>
  <c r="O178" i="1"/>
  <c r="O180" i="1"/>
  <c r="O181" i="1"/>
  <c r="O135" i="1"/>
  <c r="O136" i="1"/>
  <c r="O137" i="1"/>
  <c r="O138" i="1"/>
  <c r="O139" i="1"/>
  <c r="O140" i="1"/>
  <c r="O141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81" i="1"/>
  <c r="O82" i="1"/>
  <c r="O83" i="1"/>
  <c r="O84" i="1"/>
  <c r="O85" i="1"/>
  <c r="O86" i="1"/>
  <c r="O66" i="1"/>
  <c r="O67" i="1"/>
  <c r="O68" i="1"/>
  <c r="O69" i="1"/>
  <c r="O70" i="1"/>
  <c r="O71" i="1"/>
  <c r="O72" i="1"/>
  <c r="O73" i="1"/>
  <c r="O74" i="1"/>
  <c r="O75" i="1"/>
  <c r="O76" i="1"/>
  <c r="O77" i="1"/>
  <c r="I220" i="1"/>
  <c r="J220" i="1" s="1"/>
  <c r="K220" i="1" s="1"/>
  <c r="I219" i="1"/>
  <c r="J219" i="1" s="1"/>
  <c r="K219" i="1" s="1"/>
  <c r="D219" i="1"/>
  <c r="E219" i="1" s="1"/>
  <c r="F219" i="1" s="1"/>
  <c r="I218" i="1"/>
  <c r="J218" i="1" s="1"/>
  <c r="K218" i="1" s="1"/>
  <c r="D218" i="1"/>
  <c r="E218" i="1" s="1"/>
  <c r="F218" i="1" s="1"/>
  <c r="I217" i="1"/>
  <c r="J217" i="1" s="1"/>
  <c r="K217" i="1" s="1"/>
  <c r="D217" i="1"/>
  <c r="E217" i="1" s="1"/>
  <c r="F217" i="1" s="1"/>
  <c r="I216" i="1"/>
  <c r="J216" i="1" s="1"/>
  <c r="K216" i="1" s="1"/>
  <c r="D216" i="1"/>
  <c r="E216" i="1" s="1"/>
  <c r="F216" i="1" s="1"/>
  <c r="I215" i="1"/>
  <c r="J215" i="1" s="1"/>
  <c r="K215" i="1" s="1"/>
  <c r="D215" i="1"/>
  <c r="E215" i="1" s="1"/>
  <c r="F215" i="1" s="1"/>
  <c r="I214" i="1"/>
  <c r="J214" i="1" s="1"/>
  <c r="K214" i="1" s="1"/>
  <c r="D214" i="1"/>
  <c r="E214" i="1" s="1"/>
  <c r="F214" i="1" s="1"/>
  <c r="I213" i="1"/>
  <c r="J213" i="1" s="1"/>
  <c r="K213" i="1" s="1"/>
  <c r="D213" i="1"/>
  <c r="E213" i="1" s="1"/>
  <c r="F213" i="1" s="1"/>
  <c r="I212" i="1"/>
  <c r="J212" i="1" s="1"/>
  <c r="K212" i="1" s="1"/>
  <c r="D212" i="1"/>
  <c r="E212" i="1" s="1"/>
  <c r="F212" i="1" s="1"/>
  <c r="I211" i="1"/>
  <c r="J211" i="1" s="1"/>
  <c r="K211" i="1" s="1"/>
  <c r="D211" i="1"/>
  <c r="E211" i="1" s="1"/>
  <c r="F211" i="1" s="1"/>
  <c r="I210" i="1"/>
  <c r="J210" i="1" s="1"/>
  <c r="K210" i="1" s="1"/>
  <c r="D210" i="1"/>
  <c r="E210" i="1" s="1"/>
  <c r="F210" i="1" s="1"/>
  <c r="I209" i="1"/>
  <c r="J209" i="1" s="1"/>
  <c r="K209" i="1" s="1"/>
  <c r="D209" i="1"/>
  <c r="E209" i="1" s="1"/>
  <c r="F209" i="1" s="1"/>
  <c r="I208" i="1"/>
  <c r="J208" i="1" s="1"/>
  <c r="K208" i="1" s="1"/>
  <c r="D208" i="1"/>
  <c r="E208" i="1" s="1"/>
  <c r="F208" i="1" s="1"/>
  <c r="I207" i="1"/>
  <c r="J207" i="1" s="1"/>
  <c r="K207" i="1" s="1"/>
  <c r="D207" i="1"/>
  <c r="E207" i="1" s="1"/>
  <c r="F207" i="1" s="1"/>
  <c r="I206" i="1"/>
  <c r="J206" i="1" s="1"/>
  <c r="K206" i="1" s="1"/>
  <c r="D206" i="1"/>
  <c r="E206" i="1" s="1"/>
  <c r="F206" i="1" s="1"/>
  <c r="I205" i="1"/>
  <c r="J205" i="1" s="1"/>
  <c r="K205" i="1" s="1"/>
  <c r="D205" i="1"/>
  <c r="E205" i="1" s="1"/>
  <c r="F205" i="1" s="1"/>
  <c r="I204" i="1"/>
  <c r="J204" i="1" s="1"/>
  <c r="K204" i="1" s="1"/>
  <c r="D204" i="1"/>
  <c r="E204" i="1" s="1"/>
  <c r="F204" i="1" s="1"/>
  <c r="I203" i="1"/>
  <c r="J203" i="1" s="1"/>
  <c r="K203" i="1" s="1"/>
  <c r="D203" i="1"/>
  <c r="E203" i="1" s="1"/>
  <c r="F203" i="1" s="1"/>
  <c r="I202" i="1"/>
  <c r="J202" i="1" s="1"/>
  <c r="K202" i="1" s="1"/>
  <c r="D202" i="1"/>
  <c r="E202" i="1" s="1"/>
  <c r="F202" i="1" s="1"/>
  <c r="I201" i="1"/>
  <c r="J201" i="1" s="1"/>
  <c r="K201" i="1" s="1"/>
  <c r="D201" i="1"/>
  <c r="E201" i="1" s="1"/>
  <c r="F201" i="1" s="1"/>
  <c r="I200" i="1"/>
  <c r="J200" i="1" s="1"/>
  <c r="K200" i="1" s="1"/>
  <c r="D200" i="1"/>
  <c r="E200" i="1" s="1"/>
  <c r="F200" i="1" s="1"/>
  <c r="I199" i="1"/>
  <c r="J199" i="1" s="1"/>
  <c r="K199" i="1" s="1"/>
  <c r="D199" i="1"/>
  <c r="E199" i="1" s="1"/>
  <c r="F199" i="1" s="1"/>
  <c r="I198" i="1"/>
  <c r="J198" i="1" s="1"/>
  <c r="K198" i="1" s="1"/>
  <c r="D198" i="1"/>
  <c r="E198" i="1" s="1"/>
  <c r="F198" i="1" s="1"/>
  <c r="I197" i="1"/>
  <c r="J197" i="1" s="1"/>
  <c r="K197" i="1" s="1"/>
  <c r="D197" i="1"/>
  <c r="E197" i="1" s="1"/>
  <c r="F197" i="1" s="1"/>
  <c r="I196" i="1"/>
  <c r="J196" i="1" s="1"/>
  <c r="K196" i="1" s="1"/>
  <c r="D196" i="1"/>
  <c r="E196" i="1" s="1"/>
  <c r="F196" i="1" s="1"/>
  <c r="I195" i="1"/>
  <c r="J195" i="1" s="1"/>
  <c r="K195" i="1" s="1"/>
  <c r="D195" i="1"/>
  <c r="E195" i="1" s="1"/>
  <c r="F195" i="1" s="1"/>
  <c r="I194" i="1"/>
  <c r="J194" i="1" s="1"/>
  <c r="K194" i="1" s="1"/>
  <c r="D194" i="1"/>
  <c r="E194" i="1" s="1"/>
  <c r="F194" i="1" s="1"/>
  <c r="I193" i="1"/>
  <c r="J193" i="1" s="1"/>
  <c r="K193" i="1" s="1"/>
  <c r="D193" i="1"/>
  <c r="E193" i="1" s="1"/>
  <c r="F193" i="1" s="1"/>
  <c r="I192" i="1"/>
  <c r="J192" i="1" s="1"/>
  <c r="K192" i="1" s="1"/>
  <c r="D192" i="1"/>
  <c r="E192" i="1" s="1"/>
  <c r="F192" i="1" s="1"/>
  <c r="I191" i="1"/>
  <c r="J191" i="1" s="1"/>
  <c r="K191" i="1" s="1"/>
  <c r="D191" i="1"/>
  <c r="E191" i="1" s="1"/>
  <c r="F191" i="1" s="1"/>
  <c r="I190" i="1"/>
  <c r="J190" i="1" s="1"/>
  <c r="K190" i="1" s="1"/>
  <c r="D190" i="1"/>
  <c r="E190" i="1" s="1"/>
  <c r="F190" i="1" s="1"/>
  <c r="I189" i="1"/>
  <c r="J189" i="1" s="1"/>
  <c r="K189" i="1" s="1"/>
  <c r="D189" i="1"/>
  <c r="E189" i="1" s="1"/>
  <c r="F189" i="1" s="1"/>
  <c r="I188" i="1"/>
  <c r="J188" i="1" s="1"/>
  <c r="K188" i="1" s="1"/>
  <c r="D188" i="1"/>
  <c r="E188" i="1" s="1"/>
  <c r="F188" i="1" s="1"/>
  <c r="I187" i="1"/>
  <c r="J187" i="1" s="1"/>
  <c r="K187" i="1" s="1"/>
  <c r="D187" i="1"/>
  <c r="E187" i="1" s="1"/>
  <c r="F187" i="1" s="1"/>
  <c r="I186" i="1"/>
  <c r="J186" i="1" s="1"/>
  <c r="K186" i="1" s="1"/>
  <c r="D186" i="1"/>
  <c r="E186" i="1" s="1"/>
  <c r="F186" i="1" s="1"/>
  <c r="I185" i="1"/>
  <c r="J185" i="1" s="1"/>
  <c r="K185" i="1" s="1"/>
  <c r="D185" i="1"/>
  <c r="E185" i="1" s="1"/>
  <c r="F185" i="1" s="1"/>
  <c r="I184" i="1"/>
  <c r="J184" i="1" s="1"/>
  <c r="K184" i="1" s="1"/>
  <c r="D184" i="1"/>
  <c r="E184" i="1" s="1"/>
  <c r="F184" i="1" s="1"/>
  <c r="I183" i="1"/>
  <c r="J183" i="1" s="1"/>
  <c r="K183" i="1" s="1"/>
  <c r="D183" i="1"/>
  <c r="E183" i="1" s="1"/>
  <c r="F183" i="1" s="1"/>
  <c r="I182" i="1"/>
  <c r="J182" i="1" s="1"/>
  <c r="K182" i="1" s="1"/>
  <c r="D182" i="1"/>
  <c r="E182" i="1" s="1"/>
  <c r="F182" i="1" s="1"/>
  <c r="I181" i="1"/>
  <c r="J181" i="1" s="1"/>
  <c r="K181" i="1" s="1"/>
  <c r="D181" i="1"/>
  <c r="E181" i="1" s="1"/>
  <c r="F181" i="1" s="1"/>
  <c r="I180" i="1"/>
  <c r="J180" i="1" s="1"/>
  <c r="K180" i="1" s="1"/>
  <c r="D180" i="1"/>
  <c r="E180" i="1" s="1"/>
  <c r="F180" i="1" s="1"/>
  <c r="I178" i="1"/>
  <c r="J178" i="1" s="1"/>
  <c r="K178" i="1" s="1"/>
  <c r="D178" i="1"/>
  <c r="E178" i="1" s="1"/>
  <c r="F178" i="1" s="1"/>
  <c r="I177" i="1"/>
  <c r="J177" i="1" s="1"/>
  <c r="K177" i="1" s="1"/>
  <c r="D177" i="1"/>
  <c r="E177" i="1" s="1"/>
  <c r="F177" i="1" s="1"/>
  <c r="I176" i="1"/>
  <c r="J176" i="1" s="1"/>
  <c r="K176" i="1" s="1"/>
  <c r="D176" i="1"/>
  <c r="E176" i="1" s="1"/>
  <c r="F176" i="1" s="1"/>
  <c r="I175" i="1"/>
  <c r="J175" i="1" s="1"/>
  <c r="K175" i="1" s="1"/>
  <c r="D175" i="1"/>
  <c r="E175" i="1" s="1"/>
  <c r="F175" i="1" s="1"/>
  <c r="I174" i="1"/>
  <c r="J174" i="1" s="1"/>
  <c r="K174" i="1" s="1"/>
  <c r="D174" i="1"/>
  <c r="E174" i="1" s="1"/>
  <c r="F174" i="1" s="1"/>
  <c r="I172" i="1"/>
  <c r="J172" i="1" s="1"/>
  <c r="K172" i="1" s="1"/>
  <c r="D172" i="1"/>
  <c r="E172" i="1" s="1"/>
  <c r="F172" i="1" s="1"/>
  <c r="I171" i="1"/>
  <c r="J171" i="1" s="1"/>
  <c r="K171" i="1" s="1"/>
  <c r="D171" i="1"/>
  <c r="E171" i="1" s="1"/>
  <c r="F171" i="1" s="1"/>
  <c r="I169" i="1"/>
  <c r="J169" i="1" s="1"/>
  <c r="K169" i="1" s="1"/>
  <c r="D169" i="1"/>
  <c r="E169" i="1" s="1"/>
  <c r="F169" i="1" s="1"/>
  <c r="I168" i="1"/>
  <c r="J168" i="1" s="1"/>
  <c r="K168" i="1" s="1"/>
  <c r="D168" i="1"/>
  <c r="E168" i="1" s="1"/>
  <c r="F168" i="1" s="1"/>
  <c r="I167" i="1"/>
  <c r="J167" i="1" s="1"/>
  <c r="K167" i="1" s="1"/>
  <c r="D167" i="1"/>
  <c r="E167" i="1" s="1"/>
  <c r="F167" i="1" s="1"/>
  <c r="I166" i="1"/>
  <c r="J166" i="1" s="1"/>
  <c r="K166" i="1" s="1"/>
  <c r="D166" i="1"/>
  <c r="E166" i="1" s="1"/>
  <c r="F166" i="1" s="1"/>
  <c r="I165" i="1"/>
  <c r="J165" i="1" s="1"/>
  <c r="K165" i="1" s="1"/>
  <c r="D165" i="1"/>
  <c r="E165" i="1" s="1"/>
  <c r="F165" i="1" s="1"/>
  <c r="I164" i="1"/>
  <c r="J164" i="1" s="1"/>
  <c r="K164" i="1" s="1"/>
  <c r="D164" i="1"/>
  <c r="E164" i="1" s="1"/>
  <c r="F164" i="1" s="1"/>
  <c r="I163" i="1"/>
  <c r="J163" i="1" s="1"/>
  <c r="K163" i="1" s="1"/>
  <c r="D163" i="1"/>
  <c r="E163" i="1" s="1"/>
  <c r="F163" i="1" s="1"/>
  <c r="I162" i="1"/>
  <c r="J162" i="1" s="1"/>
  <c r="K162" i="1" s="1"/>
  <c r="D162" i="1"/>
  <c r="E162" i="1" s="1"/>
  <c r="F162" i="1" s="1"/>
  <c r="I160" i="1"/>
  <c r="J160" i="1" s="1"/>
  <c r="K160" i="1" s="1"/>
  <c r="D160" i="1"/>
  <c r="E160" i="1" s="1"/>
  <c r="F160" i="1" s="1"/>
  <c r="I159" i="1"/>
  <c r="J159" i="1" s="1"/>
  <c r="K159" i="1" s="1"/>
  <c r="D159" i="1"/>
  <c r="E159" i="1" s="1"/>
  <c r="F159" i="1" s="1"/>
  <c r="I158" i="1"/>
  <c r="J158" i="1" s="1"/>
  <c r="K158" i="1" s="1"/>
  <c r="D158" i="1"/>
  <c r="E158" i="1" s="1"/>
  <c r="F158" i="1" s="1"/>
  <c r="I157" i="1"/>
  <c r="J157" i="1" s="1"/>
  <c r="K157" i="1" s="1"/>
  <c r="D157" i="1"/>
  <c r="E157" i="1" s="1"/>
  <c r="F157" i="1" s="1"/>
  <c r="I156" i="1"/>
  <c r="J156" i="1" s="1"/>
  <c r="K156" i="1" s="1"/>
  <c r="D156" i="1"/>
  <c r="E156" i="1" s="1"/>
  <c r="F156" i="1" s="1"/>
  <c r="I155" i="1"/>
  <c r="J155" i="1" s="1"/>
  <c r="K155" i="1" s="1"/>
  <c r="D155" i="1"/>
  <c r="E155" i="1" s="1"/>
  <c r="F155" i="1" s="1"/>
  <c r="I154" i="1"/>
  <c r="J154" i="1" s="1"/>
  <c r="K154" i="1" s="1"/>
  <c r="D154" i="1"/>
  <c r="E154" i="1" s="1"/>
  <c r="F154" i="1" s="1"/>
  <c r="I153" i="1"/>
  <c r="J153" i="1" s="1"/>
  <c r="K153" i="1" s="1"/>
  <c r="D153" i="1"/>
  <c r="E153" i="1" s="1"/>
  <c r="F153" i="1" s="1"/>
  <c r="I152" i="1"/>
  <c r="J152" i="1" s="1"/>
  <c r="K152" i="1" s="1"/>
  <c r="D152" i="1"/>
  <c r="E152" i="1" s="1"/>
  <c r="F152" i="1" s="1"/>
  <c r="I151" i="1"/>
  <c r="J151" i="1" s="1"/>
  <c r="K151" i="1" s="1"/>
  <c r="D151" i="1"/>
  <c r="E151" i="1" s="1"/>
  <c r="F151" i="1" s="1"/>
  <c r="I150" i="1"/>
  <c r="J150" i="1" s="1"/>
  <c r="K150" i="1" s="1"/>
  <c r="D150" i="1"/>
  <c r="E150" i="1" s="1"/>
  <c r="F150" i="1" s="1"/>
  <c r="I149" i="1"/>
  <c r="J149" i="1" s="1"/>
  <c r="K149" i="1" s="1"/>
  <c r="D149" i="1"/>
  <c r="E149" i="1" s="1"/>
  <c r="F149" i="1" s="1"/>
  <c r="I148" i="1"/>
  <c r="J148" i="1" s="1"/>
  <c r="K148" i="1" s="1"/>
  <c r="D148" i="1"/>
  <c r="E148" i="1" s="1"/>
  <c r="F148" i="1" s="1"/>
  <c r="I147" i="1"/>
  <c r="J147" i="1" s="1"/>
  <c r="K147" i="1" s="1"/>
  <c r="D147" i="1"/>
  <c r="E147" i="1" s="1"/>
  <c r="F147" i="1" s="1"/>
  <c r="I146" i="1"/>
  <c r="J146" i="1" s="1"/>
  <c r="K146" i="1" s="1"/>
  <c r="D146" i="1"/>
  <c r="E146" i="1" s="1"/>
  <c r="F146" i="1" s="1"/>
  <c r="I145" i="1"/>
  <c r="J145" i="1" s="1"/>
  <c r="K145" i="1" s="1"/>
  <c r="D145" i="1"/>
  <c r="E145" i="1" s="1"/>
  <c r="F145" i="1" s="1"/>
  <c r="I144" i="1"/>
  <c r="J144" i="1" s="1"/>
  <c r="K144" i="1" s="1"/>
  <c r="D144" i="1"/>
  <c r="E144" i="1" s="1"/>
  <c r="F144" i="1" s="1"/>
  <c r="I143" i="1"/>
  <c r="J143" i="1" s="1"/>
  <c r="K143" i="1" s="1"/>
  <c r="D143" i="1"/>
  <c r="E143" i="1" s="1"/>
  <c r="F143" i="1" s="1"/>
  <c r="I142" i="1"/>
  <c r="J142" i="1" s="1"/>
  <c r="K142" i="1" s="1"/>
  <c r="D142" i="1"/>
  <c r="E142" i="1" s="1"/>
  <c r="F142" i="1" s="1"/>
  <c r="I141" i="1"/>
  <c r="J141" i="1" s="1"/>
  <c r="K141" i="1" s="1"/>
  <c r="D141" i="1"/>
  <c r="E141" i="1" s="1"/>
  <c r="F141" i="1" s="1"/>
  <c r="I140" i="1"/>
  <c r="J140" i="1" s="1"/>
  <c r="K140" i="1" s="1"/>
  <c r="D140" i="1"/>
  <c r="E140" i="1" s="1"/>
  <c r="F140" i="1" s="1"/>
  <c r="I139" i="1"/>
  <c r="J139" i="1" s="1"/>
  <c r="K139" i="1" s="1"/>
  <c r="D139" i="1"/>
  <c r="E139" i="1" s="1"/>
  <c r="F139" i="1" s="1"/>
  <c r="I138" i="1"/>
  <c r="J138" i="1" s="1"/>
  <c r="K138" i="1" s="1"/>
  <c r="D138" i="1"/>
  <c r="E138" i="1" s="1"/>
  <c r="F138" i="1" s="1"/>
  <c r="I137" i="1"/>
  <c r="J137" i="1" s="1"/>
  <c r="K137" i="1" s="1"/>
  <c r="D137" i="1"/>
  <c r="E137" i="1" s="1"/>
  <c r="F137" i="1" s="1"/>
  <c r="I136" i="1"/>
  <c r="J136" i="1" s="1"/>
  <c r="K136" i="1" s="1"/>
  <c r="D136" i="1"/>
  <c r="E136" i="1" s="1"/>
  <c r="F136" i="1" s="1"/>
  <c r="I135" i="1"/>
  <c r="J135" i="1" s="1"/>
  <c r="K135" i="1" s="1"/>
  <c r="D135" i="1"/>
  <c r="E135" i="1" s="1"/>
  <c r="F135" i="1" s="1"/>
  <c r="I134" i="1"/>
  <c r="J134" i="1" s="1"/>
  <c r="K134" i="1" s="1"/>
  <c r="D134" i="1"/>
  <c r="E134" i="1" s="1"/>
  <c r="F134" i="1" s="1"/>
  <c r="I133" i="1"/>
  <c r="J133" i="1" s="1"/>
  <c r="K133" i="1" s="1"/>
  <c r="D133" i="1"/>
  <c r="E133" i="1" s="1"/>
  <c r="F133" i="1" s="1"/>
  <c r="I132" i="1"/>
  <c r="J132" i="1" s="1"/>
  <c r="K132" i="1" s="1"/>
  <c r="D132" i="1"/>
  <c r="E132" i="1" s="1"/>
  <c r="F132" i="1" s="1"/>
  <c r="I131" i="1"/>
  <c r="J131" i="1" s="1"/>
  <c r="K131" i="1" s="1"/>
  <c r="D131" i="1"/>
  <c r="E131" i="1" s="1"/>
  <c r="F131" i="1" s="1"/>
  <c r="I130" i="1"/>
  <c r="J130" i="1" s="1"/>
  <c r="K130" i="1" s="1"/>
  <c r="D130" i="1"/>
  <c r="E130" i="1" s="1"/>
  <c r="F130" i="1" s="1"/>
  <c r="I129" i="1"/>
  <c r="J129" i="1" s="1"/>
  <c r="K129" i="1" s="1"/>
  <c r="D129" i="1"/>
  <c r="E129" i="1" s="1"/>
  <c r="F129" i="1" s="1"/>
  <c r="I128" i="1"/>
  <c r="J128" i="1" s="1"/>
  <c r="K128" i="1" s="1"/>
  <c r="D128" i="1"/>
  <c r="E128" i="1" s="1"/>
  <c r="F128" i="1" s="1"/>
  <c r="I127" i="1"/>
  <c r="J127" i="1" s="1"/>
  <c r="K127" i="1" s="1"/>
  <c r="D127" i="1"/>
  <c r="E127" i="1" s="1"/>
  <c r="F127" i="1" s="1"/>
  <c r="I126" i="1"/>
  <c r="J126" i="1" s="1"/>
  <c r="K126" i="1" s="1"/>
  <c r="D126" i="1"/>
  <c r="E126" i="1" s="1"/>
  <c r="F126" i="1" s="1"/>
  <c r="I125" i="1"/>
  <c r="J125" i="1" s="1"/>
  <c r="K125" i="1" s="1"/>
  <c r="D125" i="1"/>
  <c r="E125" i="1" s="1"/>
  <c r="F125" i="1" s="1"/>
  <c r="I124" i="1"/>
  <c r="J124" i="1" s="1"/>
  <c r="K124" i="1" s="1"/>
  <c r="D124" i="1"/>
  <c r="E124" i="1" s="1"/>
  <c r="F124" i="1" s="1"/>
  <c r="I123" i="1"/>
  <c r="J123" i="1" s="1"/>
  <c r="K123" i="1" s="1"/>
  <c r="D123" i="1"/>
  <c r="E123" i="1" s="1"/>
  <c r="F123" i="1" s="1"/>
  <c r="I122" i="1"/>
  <c r="J122" i="1" s="1"/>
  <c r="K122" i="1" s="1"/>
  <c r="D122" i="1"/>
  <c r="E122" i="1" s="1"/>
  <c r="F122" i="1" s="1"/>
  <c r="I121" i="1"/>
  <c r="J121" i="1" s="1"/>
  <c r="K121" i="1" s="1"/>
  <c r="D121" i="1"/>
  <c r="E121" i="1" s="1"/>
  <c r="F121" i="1" s="1"/>
  <c r="I120" i="1"/>
  <c r="J120" i="1" s="1"/>
  <c r="K120" i="1" s="1"/>
  <c r="D120" i="1"/>
  <c r="E120" i="1" s="1"/>
  <c r="F120" i="1" s="1"/>
  <c r="I119" i="1"/>
  <c r="J119" i="1" s="1"/>
  <c r="K119" i="1" s="1"/>
  <c r="D119" i="1"/>
  <c r="E119" i="1" s="1"/>
  <c r="F119" i="1" s="1"/>
  <c r="I118" i="1"/>
  <c r="J118" i="1" s="1"/>
  <c r="K118" i="1" s="1"/>
  <c r="D118" i="1"/>
  <c r="E118" i="1" s="1"/>
  <c r="F118" i="1" s="1"/>
  <c r="I117" i="1"/>
  <c r="J117" i="1" s="1"/>
  <c r="K117" i="1" s="1"/>
  <c r="D117" i="1"/>
  <c r="E117" i="1" s="1"/>
  <c r="F117" i="1" s="1"/>
  <c r="I116" i="1"/>
  <c r="J116" i="1" s="1"/>
  <c r="K116" i="1" s="1"/>
  <c r="D116" i="1"/>
  <c r="E116" i="1" s="1"/>
  <c r="F116" i="1" s="1"/>
  <c r="I115" i="1"/>
  <c r="J115" i="1" s="1"/>
  <c r="K115" i="1" s="1"/>
  <c r="D115" i="1"/>
  <c r="E115" i="1" s="1"/>
  <c r="F115" i="1" s="1"/>
  <c r="I114" i="1"/>
  <c r="J114" i="1" s="1"/>
  <c r="K114" i="1" s="1"/>
  <c r="D114" i="1"/>
  <c r="E114" i="1" s="1"/>
  <c r="F114" i="1" s="1"/>
  <c r="I113" i="1"/>
  <c r="J113" i="1" s="1"/>
  <c r="K113" i="1" s="1"/>
  <c r="D113" i="1"/>
  <c r="E113" i="1" s="1"/>
  <c r="F113" i="1" s="1"/>
  <c r="I112" i="1"/>
  <c r="J112" i="1" s="1"/>
  <c r="K112" i="1" s="1"/>
  <c r="D112" i="1"/>
  <c r="E112" i="1" s="1"/>
  <c r="F112" i="1" s="1"/>
  <c r="I111" i="1"/>
  <c r="J111" i="1" s="1"/>
  <c r="K111" i="1" s="1"/>
  <c r="D111" i="1"/>
  <c r="E111" i="1" s="1"/>
  <c r="F111" i="1" s="1"/>
  <c r="I110" i="1"/>
  <c r="J110" i="1" s="1"/>
  <c r="K110" i="1" s="1"/>
  <c r="D110" i="1"/>
  <c r="E110" i="1" s="1"/>
  <c r="F110" i="1" s="1"/>
  <c r="I109" i="1"/>
  <c r="J109" i="1" s="1"/>
  <c r="K109" i="1" s="1"/>
  <c r="D109" i="1"/>
  <c r="E109" i="1" s="1"/>
  <c r="F109" i="1" s="1"/>
  <c r="I108" i="1"/>
  <c r="J108" i="1" s="1"/>
  <c r="K108" i="1" s="1"/>
  <c r="D108" i="1"/>
  <c r="E108" i="1" s="1"/>
  <c r="F108" i="1" s="1"/>
  <c r="I107" i="1"/>
  <c r="J107" i="1" s="1"/>
  <c r="K107" i="1" s="1"/>
  <c r="D107" i="1"/>
  <c r="E107" i="1" s="1"/>
  <c r="F107" i="1" s="1"/>
  <c r="I106" i="1"/>
  <c r="J106" i="1" s="1"/>
  <c r="K106" i="1" s="1"/>
  <c r="D106" i="1"/>
  <c r="E106" i="1" s="1"/>
  <c r="F106" i="1" s="1"/>
  <c r="I105" i="1"/>
  <c r="J105" i="1" s="1"/>
  <c r="K105" i="1" s="1"/>
  <c r="D105" i="1"/>
  <c r="E105" i="1" s="1"/>
  <c r="F105" i="1" s="1"/>
  <c r="I104" i="1"/>
  <c r="J104" i="1" s="1"/>
  <c r="K104" i="1" s="1"/>
  <c r="D104" i="1"/>
  <c r="E104" i="1" s="1"/>
  <c r="F104" i="1" s="1"/>
  <c r="I103" i="1"/>
  <c r="J103" i="1" s="1"/>
  <c r="K103" i="1" s="1"/>
  <c r="D103" i="1"/>
  <c r="E103" i="1" s="1"/>
  <c r="F103" i="1" s="1"/>
  <c r="I102" i="1"/>
  <c r="J102" i="1" s="1"/>
  <c r="K102" i="1" s="1"/>
  <c r="D102" i="1"/>
  <c r="E102" i="1" s="1"/>
  <c r="F102" i="1" s="1"/>
  <c r="I101" i="1"/>
  <c r="J101" i="1" s="1"/>
  <c r="K101" i="1" s="1"/>
  <c r="D101" i="1"/>
  <c r="E101" i="1" s="1"/>
  <c r="F101" i="1" s="1"/>
  <c r="I100" i="1"/>
  <c r="J100" i="1" s="1"/>
  <c r="K100" i="1" s="1"/>
  <c r="D100" i="1"/>
  <c r="E100" i="1" s="1"/>
  <c r="F100" i="1" s="1"/>
  <c r="I99" i="1"/>
  <c r="J99" i="1" s="1"/>
  <c r="K99" i="1" s="1"/>
  <c r="D99" i="1"/>
  <c r="E99" i="1" s="1"/>
  <c r="F99" i="1" s="1"/>
  <c r="I98" i="1"/>
  <c r="J98" i="1" s="1"/>
  <c r="K98" i="1" s="1"/>
  <c r="D98" i="1"/>
  <c r="E98" i="1" s="1"/>
  <c r="F98" i="1" s="1"/>
  <c r="I97" i="1"/>
  <c r="J97" i="1" s="1"/>
  <c r="K97" i="1" s="1"/>
  <c r="D97" i="1"/>
  <c r="E97" i="1" s="1"/>
  <c r="F97" i="1" s="1"/>
  <c r="I96" i="1"/>
  <c r="J96" i="1" s="1"/>
  <c r="K96" i="1" s="1"/>
  <c r="D96" i="1"/>
  <c r="E96" i="1" s="1"/>
  <c r="F96" i="1" s="1"/>
  <c r="I95" i="1"/>
  <c r="J95" i="1" s="1"/>
  <c r="K95" i="1" s="1"/>
  <c r="D95" i="1"/>
  <c r="E95" i="1" s="1"/>
  <c r="F95" i="1" s="1"/>
  <c r="I94" i="1"/>
  <c r="J94" i="1" s="1"/>
  <c r="K94" i="1" s="1"/>
  <c r="D94" i="1"/>
  <c r="E94" i="1" s="1"/>
  <c r="F94" i="1" s="1"/>
  <c r="I93" i="1"/>
  <c r="J93" i="1" s="1"/>
  <c r="K93" i="1" s="1"/>
  <c r="D93" i="1"/>
  <c r="E93" i="1" s="1"/>
  <c r="F93" i="1" s="1"/>
  <c r="I92" i="1"/>
  <c r="J92" i="1" s="1"/>
  <c r="K92" i="1" s="1"/>
  <c r="D92" i="1"/>
  <c r="E92" i="1" s="1"/>
  <c r="F92" i="1" s="1"/>
  <c r="I91" i="1"/>
  <c r="J91" i="1" s="1"/>
  <c r="K91" i="1" s="1"/>
  <c r="D91" i="1"/>
  <c r="E91" i="1" s="1"/>
  <c r="F91" i="1" s="1"/>
  <c r="I90" i="1"/>
  <c r="J90" i="1" s="1"/>
  <c r="K90" i="1" s="1"/>
  <c r="D90" i="1"/>
  <c r="E90" i="1" s="1"/>
  <c r="F90" i="1" s="1"/>
  <c r="I89" i="1"/>
  <c r="J89" i="1" s="1"/>
  <c r="K89" i="1" s="1"/>
  <c r="D89" i="1"/>
  <c r="E89" i="1" s="1"/>
  <c r="F89" i="1" s="1"/>
  <c r="I88" i="1"/>
  <c r="J88" i="1" s="1"/>
  <c r="K88" i="1" s="1"/>
  <c r="D88" i="1"/>
  <c r="E88" i="1" s="1"/>
  <c r="F88" i="1" s="1"/>
  <c r="I87" i="1"/>
  <c r="J87" i="1" s="1"/>
  <c r="K87" i="1" s="1"/>
  <c r="D87" i="1"/>
  <c r="E87" i="1" s="1"/>
  <c r="F87" i="1" s="1"/>
  <c r="I86" i="1"/>
  <c r="J86" i="1" s="1"/>
  <c r="K86" i="1" s="1"/>
  <c r="D86" i="1"/>
  <c r="E86" i="1" s="1"/>
  <c r="F86" i="1" s="1"/>
  <c r="I85" i="1"/>
  <c r="J85" i="1" s="1"/>
  <c r="K85" i="1" s="1"/>
  <c r="D85" i="1"/>
  <c r="E85" i="1" s="1"/>
  <c r="F85" i="1" s="1"/>
  <c r="I84" i="1"/>
  <c r="J84" i="1" s="1"/>
  <c r="K84" i="1" s="1"/>
  <c r="D84" i="1"/>
  <c r="E84" i="1" s="1"/>
  <c r="F84" i="1" s="1"/>
  <c r="I83" i="1"/>
  <c r="J83" i="1" s="1"/>
  <c r="K83" i="1" s="1"/>
  <c r="D83" i="1"/>
  <c r="E83" i="1" s="1"/>
  <c r="F83" i="1" s="1"/>
  <c r="I82" i="1"/>
  <c r="J82" i="1" s="1"/>
  <c r="K82" i="1" s="1"/>
  <c r="D82" i="1"/>
  <c r="E82" i="1" s="1"/>
  <c r="F82" i="1" s="1"/>
  <c r="I81" i="1"/>
  <c r="J81" i="1" s="1"/>
  <c r="K81" i="1" s="1"/>
  <c r="D81" i="1"/>
  <c r="E81" i="1" s="1"/>
  <c r="F81" i="1" s="1"/>
  <c r="I80" i="1"/>
  <c r="J80" i="1" s="1"/>
  <c r="K80" i="1" s="1"/>
  <c r="D80" i="1"/>
  <c r="E80" i="1" s="1"/>
  <c r="F80" i="1" s="1"/>
  <c r="I79" i="1"/>
  <c r="J79" i="1" s="1"/>
  <c r="K79" i="1" s="1"/>
  <c r="D79" i="1"/>
  <c r="E79" i="1" s="1"/>
  <c r="F79" i="1" s="1"/>
  <c r="I78" i="1"/>
  <c r="J78" i="1" s="1"/>
  <c r="K78" i="1" s="1"/>
  <c r="D78" i="1"/>
  <c r="E78" i="1" s="1"/>
  <c r="F78" i="1" s="1"/>
  <c r="I77" i="1"/>
  <c r="J77" i="1" s="1"/>
  <c r="K77" i="1" s="1"/>
  <c r="D77" i="1"/>
  <c r="E77" i="1" s="1"/>
  <c r="F77" i="1" s="1"/>
  <c r="I76" i="1"/>
  <c r="J76" i="1" s="1"/>
  <c r="K76" i="1" s="1"/>
  <c r="D76" i="1"/>
  <c r="E76" i="1" s="1"/>
  <c r="F76" i="1" s="1"/>
  <c r="I75" i="1"/>
  <c r="J75" i="1" s="1"/>
  <c r="K75" i="1" s="1"/>
  <c r="D75" i="1"/>
  <c r="E75" i="1" s="1"/>
  <c r="F75" i="1" s="1"/>
  <c r="I74" i="1"/>
  <c r="J74" i="1" s="1"/>
  <c r="K74" i="1" s="1"/>
  <c r="D74" i="1"/>
  <c r="E74" i="1" s="1"/>
  <c r="F74" i="1" s="1"/>
  <c r="I73" i="1"/>
  <c r="J73" i="1" s="1"/>
  <c r="K73" i="1" s="1"/>
  <c r="D73" i="1"/>
  <c r="E73" i="1" s="1"/>
  <c r="F73" i="1" s="1"/>
  <c r="I72" i="1"/>
  <c r="J72" i="1" s="1"/>
  <c r="K72" i="1" s="1"/>
  <c r="D72" i="1"/>
  <c r="E72" i="1" s="1"/>
  <c r="F72" i="1" s="1"/>
  <c r="D71" i="1"/>
  <c r="E71" i="1" s="1"/>
  <c r="F71" i="1" s="1"/>
  <c r="I70" i="1"/>
  <c r="J70" i="1" s="1"/>
  <c r="K70" i="1" s="1"/>
  <c r="D70" i="1"/>
  <c r="E70" i="1" s="1"/>
  <c r="F70" i="1" s="1"/>
  <c r="I69" i="1"/>
  <c r="J69" i="1" s="1"/>
  <c r="K69" i="1" s="1"/>
  <c r="D69" i="1"/>
  <c r="E69" i="1" s="1"/>
  <c r="F69" i="1" s="1"/>
  <c r="I68" i="1"/>
  <c r="J68" i="1" s="1"/>
  <c r="K68" i="1" s="1"/>
  <c r="D68" i="1"/>
  <c r="E68" i="1" s="1"/>
  <c r="F68" i="1" s="1"/>
  <c r="I67" i="1"/>
  <c r="J67" i="1" s="1"/>
  <c r="K67" i="1" s="1"/>
  <c r="D67" i="1"/>
  <c r="E67" i="1" s="1"/>
  <c r="F67" i="1" s="1"/>
  <c r="I66" i="1"/>
  <c r="J66" i="1" s="1"/>
  <c r="K66" i="1" s="1"/>
  <c r="D66" i="1"/>
  <c r="E66" i="1" s="1"/>
  <c r="F66" i="1" s="1"/>
  <c r="AN62" i="1"/>
  <c r="AO62" i="1" s="1"/>
  <c r="AK62" i="1"/>
  <c r="AL62" i="1" s="1"/>
  <c r="Q62" i="1"/>
  <c r="R62" i="1" s="1"/>
  <c r="O62" i="1"/>
  <c r="AN49" i="1"/>
  <c r="AO49" i="1" s="1"/>
  <c r="AN50" i="1"/>
  <c r="AO50" i="1" s="1"/>
  <c r="AK49" i="1"/>
  <c r="AL49" i="1" s="1"/>
  <c r="AK50" i="1"/>
  <c r="AL50" i="1" s="1"/>
  <c r="Q49" i="1"/>
  <c r="R49" i="1" s="1"/>
  <c r="Q50" i="1"/>
  <c r="R50" i="1" s="1"/>
  <c r="O49" i="1"/>
  <c r="O50" i="1"/>
  <c r="I50" i="1"/>
  <c r="J50" i="1" s="1"/>
  <c r="K50" i="1" s="1"/>
  <c r="D50" i="1"/>
  <c r="E50" i="1" s="1"/>
  <c r="F50" i="1" s="1"/>
  <c r="I49" i="1"/>
  <c r="J49" i="1" s="1"/>
  <c r="K49" i="1" s="1"/>
  <c r="D49" i="1"/>
  <c r="E49" i="1" s="1"/>
  <c r="F49" i="1" s="1"/>
  <c r="I62" i="1"/>
  <c r="J62" i="1" s="1"/>
  <c r="K62" i="1" s="1"/>
  <c r="D62" i="1"/>
  <c r="E62" i="1" s="1"/>
  <c r="F62" i="1" s="1"/>
  <c r="O56" i="1"/>
  <c r="O57" i="1"/>
  <c r="O58" i="1"/>
  <c r="O59" i="1"/>
  <c r="O60" i="1"/>
  <c r="O61" i="1"/>
  <c r="O63" i="1"/>
  <c r="O64" i="1"/>
  <c r="O6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51" i="1"/>
  <c r="O52" i="1"/>
  <c r="O53" i="1"/>
  <c r="O54" i="1"/>
  <c r="O55" i="1"/>
  <c r="AK26" i="1"/>
  <c r="AL26" i="1" s="1"/>
  <c r="AN26" i="1"/>
  <c r="AO26" i="1" s="1"/>
  <c r="AK27" i="1"/>
  <c r="AL27" i="1" s="1"/>
  <c r="AN27" i="1"/>
  <c r="AO27" i="1" s="1"/>
  <c r="AK28" i="1"/>
  <c r="AL28" i="1" s="1"/>
  <c r="AN28" i="1"/>
  <c r="AO28" i="1" s="1"/>
  <c r="AK29" i="1"/>
  <c r="AL29" i="1" s="1"/>
  <c r="AN29" i="1"/>
  <c r="AO29" i="1" s="1"/>
  <c r="AK30" i="1"/>
  <c r="AL30" i="1" s="1"/>
  <c r="AN30" i="1"/>
  <c r="AO30" i="1" s="1"/>
  <c r="AK31" i="1"/>
  <c r="AL31" i="1" s="1"/>
  <c r="AN31" i="1"/>
  <c r="AO31" i="1" s="1"/>
  <c r="AK32" i="1"/>
  <c r="AL32" i="1" s="1"/>
  <c r="AN32" i="1"/>
  <c r="AO32" i="1" s="1"/>
  <c r="AK33" i="1"/>
  <c r="AL33" i="1" s="1"/>
  <c r="AN33" i="1"/>
  <c r="AO33" i="1" s="1"/>
  <c r="AK34" i="1"/>
  <c r="AL34" i="1" s="1"/>
  <c r="AN34" i="1"/>
  <c r="AO34" i="1" s="1"/>
  <c r="AK35" i="1"/>
  <c r="AL35" i="1" s="1"/>
  <c r="AN35" i="1"/>
  <c r="AO35" i="1" s="1"/>
  <c r="AK36" i="1"/>
  <c r="AL36" i="1" s="1"/>
  <c r="AN36" i="1"/>
  <c r="AO36" i="1" s="1"/>
  <c r="AK37" i="1"/>
  <c r="AL37" i="1" s="1"/>
  <c r="AN37" i="1"/>
  <c r="AO37" i="1" s="1"/>
  <c r="AK38" i="1"/>
  <c r="AL38" i="1" s="1"/>
  <c r="AN38" i="1"/>
  <c r="AO38" i="1" s="1"/>
  <c r="AK39" i="1"/>
  <c r="AL39" i="1" s="1"/>
  <c r="AN39" i="1"/>
  <c r="AO39" i="1" s="1"/>
  <c r="AK40" i="1"/>
  <c r="AL40" i="1" s="1"/>
  <c r="AN40" i="1"/>
  <c r="AO40" i="1" s="1"/>
  <c r="AK41" i="1"/>
  <c r="AL41" i="1" s="1"/>
  <c r="AN41" i="1"/>
  <c r="AO41" i="1" s="1"/>
  <c r="AK42" i="1"/>
  <c r="AL42" i="1" s="1"/>
  <c r="AN42" i="1"/>
  <c r="AO42" i="1" s="1"/>
  <c r="AK43" i="1"/>
  <c r="AL43" i="1" s="1"/>
  <c r="AN43" i="1"/>
  <c r="AO43" i="1" s="1"/>
  <c r="AK44" i="1"/>
  <c r="AL44" i="1" s="1"/>
  <c r="AN44" i="1"/>
  <c r="AO44" i="1" s="1"/>
  <c r="AK45" i="1"/>
  <c r="AL45" i="1" s="1"/>
  <c r="AN45" i="1"/>
  <c r="AO45" i="1" s="1"/>
  <c r="AK46" i="1"/>
  <c r="AL46" i="1" s="1"/>
  <c r="AN46" i="1"/>
  <c r="AO46" i="1" s="1"/>
  <c r="AK47" i="1"/>
  <c r="AL47" i="1" s="1"/>
  <c r="AN47" i="1"/>
  <c r="AO47" i="1" s="1"/>
  <c r="AK48" i="1"/>
  <c r="AL48" i="1" s="1"/>
  <c r="AN48" i="1"/>
  <c r="AO48" i="1" s="1"/>
  <c r="AK51" i="1"/>
  <c r="AL51" i="1" s="1"/>
  <c r="AN51" i="1"/>
  <c r="AO51" i="1" s="1"/>
  <c r="AK52" i="1"/>
  <c r="AL52" i="1" s="1"/>
  <c r="AN52" i="1"/>
  <c r="AO52" i="1" s="1"/>
  <c r="AK53" i="1"/>
  <c r="AL53" i="1" s="1"/>
  <c r="AN53" i="1"/>
  <c r="AO53" i="1" s="1"/>
  <c r="AK54" i="1"/>
  <c r="AL54" i="1" s="1"/>
  <c r="AN54" i="1"/>
  <c r="AO54" i="1" s="1"/>
  <c r="AK55" i="1"/>
  <c r="AL55" i="1" s="1"/>
  <c r="AN55" i="1"/>
  <c r="AO55" i="1" s="1"/>
  <c r="AK56" i="1"/>
  <c r="AL56" i="1" s="1"/>
  <c r="AN56" i="1"/>
  <c r="AO56" i="1" s="1"/>
  <c r="AK57" i="1"/>
  <c r="AL57" i="1" s="1"/>
  <c r="AN57" i="1"/>
  <c r="AO57" i="1" s="1"/>
  <c r="AK58" i="1"/>
  <c r="AL58" i="1" s="1"/>
  <c r="AN58" i="1"/>
  <c r="AO58" i="1" s="1"/>
  <c r="AK59" i="1"/>
  <c r="AL59" i="1" s="1"/>
  <c r="AN59" i="1"/>
  <c r="AO59" i="1" s="1"/>
  <c r="AK60" i="1"/>
  <c r="AL60" i="1" s="1"/>
  <c r="AN60" i="1"/>
  <c r="AO60" i="1" s="1"/>
  <c r="AK61" i="1"/>
  <c r="AL61" i="1" s="1"/>
  <c r="AN61" i="1"/>
  <c r="AO61" i="1" s="1"/>
  <c r="AK63" i="1"/>
  <c r="AL63" i="1" s="1"/>
  <c r="AN63" i="1"/>
  <c r="AO63" i="1" s="1"/>
  <c r="AK64" i="1"/>
  <c r="AL64" i="1" s="1"/>
  <c r="AN64" i="1"/>
  <c r="AO64" i="1" s="1"/>
  <c r="AK65" i="1"/>
  <c r="AL65" i="1" s="1"/>
  <c r="AN65" i="1"/>
  <c r="AO6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3" i="1"/>
  <c r="R63" i="1" s="1"/>
  <c r="Q64" i="1"/>
  <c r="R64" i="1" s="1"/>
  <c r="Q65" i="1"/>
  <c r="R65" i="1" s="1"/>
  <c r="I65" i="1"/>
  <c r="J65" i="1" s="1"/>
  <c r="K65" i="1" s="1"/>
  <c r="D65" i="1"/>
  <c r="E65" i="1" s="1"/>
  <c r="F65" i="1" s="1"/>
  <c r="I64" i="1"/>
  <c r="J64" i="1" s="1"/>
  <c r="K64" i="1" s="1"/>
  <c r="D64" i="1"/>
  <c r="E64" i="1" s="1"/>
  <c r="F64" i="1" s="1"/>
  <c r="I63" i="1"/>
  <c r="J63" i="1" s="1"/>
  <c r="K63" i="1" s="1"/>
  <c r="D63" i="1"/>
  <c r="E63" i="1" s="1"/>
  <c r="F63" i="1" s="1"/>
  <c r="I61" i="1"/>
  <c r="J61" i="1" s="1"/>
  <c r="K61" i="1" s="1"/>
  <c r="D61" i="1"/>
  <c r="E61" i="1" s="1"/>
  <c r="F61" i="1" s="1"/>
  <c r="I60" i="1"/>
  <c r="J60" i="1" s="1"/>
  <c r="K60" i="1" s="1"/>
  <c r="D60" i="1"/>
  <c r="E60" i="1" s="1"/>
  <c r="F60" i="1" s="1"/>
  <c r="I59" i="1"/>
  <c r="J59" i="1" s="1"/>
  <c r="K59" i="1" s="1"/>
  <c r="D59" i="1"/>
  <c r="E59" i="1" s="1"/>
  <c r="F59" i="1" s="1"/>
  <c r="I58" i="1"/>
  <c r="J58" i="1" s="1"/>
  <c r="K58" i="1" s="1"/>
  <c r="D58" i="1"/>
  <c r="E58" i="1" s="1"/>
  <c r="F58" i="1" s="1"/>
  <c r="I57" i="1"/>
  <c r="J57" i="1" s="1"/>
  <c r="K57" i="1" s="1"/>
  <c r="D57" i="1"/>
  <c r="E57" i="1" s="1"/>
  <c r="F57" i="1" s="1"/>
  <c r="I56" i="1"/>
  <c r="J56" i="1" s="1"/>
  <c r="K56" i="1" s="1"/>
  <c r="D56" i="1"/>
  <c r="E56" i="1" s="1"/>
  <c r="F56" i="1" s="1"/>
  <c r="I55" i="1"/>
  <c r="J55" i="1" s="1"/>
  <c r="K55" i="1" s="1"/>
  <c r="D55" i="1"/>
  <c r="E55" i="1" s="1"/>
  <c r="F55" i="1" s="1"/>
  <c r="I54" i="1"/>
  <c r="J54" i="1" s="1"/>
  <c r="K54" i="1" s="1"/>
  <c r="D54" i="1"/>
  <c r="E54" i="1" s="1"/>
  <c r="F54" i="1" s="1"/>
  <c r="I53" i="1"/>
  <c r="J53" i="1" s="1"/>
  <c r="K53" i="1" s="1"/>
  <c r="D53" i="1"/>
  <c r="E53" i="1" s="1"/>
  <c r="F53" i="1" s="1"/>
  <c r="I52" i="1"/>
  <c r="J52" i="1" s="1"/>
  <c r="K52" i="1" s="1"/>
  <c r="D52" i="1"/>
  <c r="E52" i="1" s="1"/>
  <c r="F52" i="1" s="1"/>
  <c r="I51" i="1"/>
  <c r="J51" i="1" s="1"/>
  <c r="K51" i="1" s="1"/>
  <c r="D51" i="1"/>
  <c r="E51" i="1" s="1"/>
  <c r="F51" i="1" s="1"/>
  <c r="I48" i="1"/>
  <c r="J48" i="1" s="1"/>
  <c r="K48" i="1" s="1"/>
  <c r="D48" i="1"/>
  <c r="E48" i="1" s="1"/>
  <c r="F48" i="1" s="1"/>
  <c r="I47" i="1"/>
  <c r="J47" i="1" s="1"/>
  <c r="K47" i="1" s="1"/>
  <c r="D47" i="1"/>
  <c r="E47" i="1" s="1"/>
  <c r="F47" i="1" s="1"/>
  <c r="I46" i="1"/>
  <c r="J46" i="1" s="1"/>
  <c r="K46" i="1" s="1"/>
  <c r="D46" i="1"/>
  <c r="E46" i="1" s="1"/>
  <c r="F46" i="1" s="1"/>
  <c r="I45" i="1"/>
  <c r="J45" i="1" s="1"/>
  <c r="K45" i="1" s="1"/>
  <c r="D45" i="1"/>
  <c r="E45" i="1" s="1"/>
  <c r="F45" i="1" s="1"/>
  <c r="I44" i="1"/>
  <c r="J44" i="1" s="1"/>
  <c r="K44" i="1" s="1"/>
  <c r="D44" i="1"/>
  <c r="E44" i="1" s="1"/>
  <c r="F44" i="1" s="1"/>
  <c r="I43" i="1"/>
  <c r="J43" i="1" s="1"/>
  <c r="K43" i="1" s="1"/>
  <c r="D43" i="1"/>
  <c r="E43" i="1" s="1"/>
  <c r="F43" i="1" s="1"/>
  <c r="I42" i="1"/>
  <c r="J42" i="1" s="1"/>
  <c r="K42" i="1" s="1"/>
  <c r="D42" i="1"/>
  <c r="E42" i="1" s="1"/>
  <c r="F42" i="1" s="1"/>
  <c r="I41" i="1"/>
  <c r="J41" i="1" s="1"/>
  <c r="K41" i="1" s="1"/>
  <c r="D41" i="1"/>
  <c r="E41" i="1" s="1"/>
  <c r="F41" i="1" s="1"/>
  <c r="I40" i="1"/>
  <c r="J40" i="1" s="1"/>
  <c r="K40" i="1" s="1"/>
  <c r="D40" i="1"/>
  <c r="E40" i="1" s="1"/>
  <c r="F40" i="1" s="1"/>
  <c r="I39" i="1"/>
  <c r="J39" i="1" s="1"/>
  <c r="K39" i="1" s="1"/>
  <c r="D39" i="1"/>
  <c r="E39" i="1" s="1"/>
  <c r="F39" i="1" s="1"/>
  <c r="I38" i="1"/>
  <c r="J38" i="1" s="1"/>
  <c r="K38" i="1" s="1"/>
  <c r="D38" i="1"/>
  <c r="E38" i="1" s="1"/>
  <c r="F38" i="1" s="1"/>
  <c r="I37" i="1"/>
  <c r="J37" i="1" s="1"/>
  <c r="K37" i="1" s="1"/>
  <c r="D37" i="1"/>
  <c r="E37" i="1" s="1"/>
  <c r="F37" i="1" s="1"/>
  <c r="I36" i="1"/>
  <c r="J36" i="1" s="1"/>
  <c r="K36" i="1" s="1"/>
  <c r="D36" i="1"/>
  <c r="E36" i="1" s="1"/>
  <c r="F36" i="1" s="1"/>
  <c r="I35" i="1"/>
  <c r="J35" i="1" s="1"/>
  <c r="K35" i="1" s="1"/>
  <c r="D35" i="1"/>
  <c r="E35" i="1" s="1"/>
  <c r="F35" i="1" s="1"/>
  <c r="D34" i="1"/>
  <c r="E34" i="1" s="1"/>
  <c r="F34" i="1" s="1"/>
  <c r="I33" i="1"/>
  <c r="J33" i="1" s="1"/>
  <c r="K33" i="1" s="1"/>
  <c r="D33" i="1"/>
  <c r="E33" i="1" s="1"/>
  <c r="F33" i="1" s="1"/>
  <c r="I32" i="1"/>
  <c r="J32" i="1" s="1"/>
  <c r="K32" i="1" s="1"/>
  <c r="D32" i="1"/>
  <c r="E32" i="1" s="1"/>
  <c r="F32" i="1" s="1"/>
  <c r="I31" i="1"/>
  <c r="J31" i="1" s="1"/>
  <c r="K31" i="1" s="1"/>
  <c r="D31" i="1"/>
  <c r="E31" i="1" s="1"/>
  <c r="F31" i="1" s="1"/>
  <c r="I30" i="1"/>
  <c r="J30" i="1" s="1"/>
  <c r="K30" i="1" s="1"/>
  <c r="D30" i="1"/>
  <c r="E30" i="1" s="1"/>
  <c r="F30" i="1" s="1"/>
  <c r="I29" i="1"/>
  <c r="J29" i="1" s="1"/>
  <c r="K29" i="1" s="1"/>
  <c r="D29" i="1"/>
  <c r="E29" i="1" s="1"/>
  <c r="F29" i="1" s="1"/>
  <c r="I28" i="1"/>
  <c r="J28" i="1" s="1"/>
  <c r="K28" i="1" s="1"/>
  <c r="D28" i="1"/>
  <c r="E28" i="1" s="1"/>
  <c r="F28" i="1" s="1"/>
  <c r="I27" i="1"/>
  <c r="J27" i="1" s="1"/>
  <c r="K27" i="1" s="1"/>
  <c r="D27" i="1"/>
  <c r="E27" i="1" s="1"/>
  <c r="F27" i="1" s="1"/>
  <c r="I26" i="1"/>
  <c r="J26" i="1" s="1"/>
  <c r="K26" i="1" s="1"/>
  <c r="D26" i="1"/>
  <c r="E26" i="1" s="1"/>
  <c r="F26" i="1" s="1"/>
  <c r="O15" i="1"/>
  <c r="O16" i="1"/>
  <c r="O17" i="1"/>
  <c r="O18" i="1"/>
  <c r="O19" i="1"/>
  <c r="O20" i="1"/>
  <c r="O21" i="1"/>
  <c r="O22" i="1"/>
  <c r="O24" i="1"/>
  <c r="O25" i="1"/>
  <c r="O9" i="1"/>
  <c r="O7" i="1"/>
  <c r="O8" i="1"/>
  <c r="O5" i="1"/>
  <c r="O6" i="1"/>
  <c r="O4" i="1"/>
  <c r="O3" i="1"/>
  <c r="AK24" i="1"/>
  <c r="AL24" i="1" s="1"/>
  <c r="AN24" i="1"/>
  <c r="AO24" i="1" s="1"/>
  <c r="AK25" i="1"/>
  <c r="AL25" i="1" s="1"/>
  <c r="AN25" i="1"/>
  <c r="AO25" i="1" s="1"/>
  <c r="Q24" i="1"/>
  <c r="R24" i="1" s="1"/>
  <c r="Q25" i="1"/>
  <c r="R25" i="1" s="1"/>
  <c r="I24" i="1"/>
  <c r="J24" i="1" s="1"/>
  <c r="K24" i="1" s="1"/>
  <c r="I25" i="1"/>
  <c r="J25" i="1" s="1"/>
  <c r="K25" i="1" s="1"/>
  <c r="D25" i="1"/>
  <c r="E25" i="1" s="1"/>
  <c r="F25" i="1" s="1"/>
  <c r="D24" i="1"/>
  <c r="E24" i="1" s="1"/>
  <c r="F24" i="1" s="1"/>
  <c r="D4" i="1"/>
  <c r="I4" i="1"/>
  <c r="J4" i="1" s="1"/>
  <c r="K4" i="1" s="1"/>
  <c r="Q4" i="1"/>
  <c r="R4" i="1" s="1"/>
  <c r="AK4" i="1"/>
  <c r="AL4" i="1" s="1"/>
  <c r="AN4" i="1"/>
  <c r="AO4" i="1" s="1"/>
  <c r="AN12" i="1"/>
  <c r="AO12" i="1" s="1"/>
  <c r="AN13" i="1"/>
  <c r="AO13" i="1" s="1"/>
  <c r="AN15" i="1"/>
  <c r="AO15" i="1" s="1"/>
  <c r="AN17" i="1"/>
  <c r="AO17" i="1" s="1"/>
  <c r="AN18" i="1"/>
  <c r="AO18" i="1" s="1"/>
  <c r="AN19" i="1"/>
  <c r="AO19" i="1" s="1"/>
  <c r="AN20" i="1"/>
  <c r="AO20" i="1" s="1"/>
  <c r="AN21" i="1"/>
  <c r="AO21" i="1" s="1"/>
  <c r="AN22" i="1"/>
  <c r="AO22" i="1" s="1"/>
  <c r="AN7" i="1"/>
  <c r="AO7" i="1" s="1"/>
  <c r="AN8" i="1"/>
  <c r="AO8" i="1" s="1"/>
  <c r="AN10" i="1"/>
  <c r="AO10" i="1" s="1"/>
  <c r="AN11" i="1"/>
  <c r="AO11" i="1" s="1"/>
  <c r="AN5" i="1"/>
  <c r="AO5" i="1" s="1"/>
  <c r="AN6" i="1"/>
  <c r="AO6" i="1" s="1"/>
  <c r="AN23" i="1"/>
  <c r="AO23" i="1" s="1"/>
  <c r="AN16" i="1"/>
  <c r="AO16" i="1" s="1"/>
  <c r="AK12" i="1"/>
  <c r="AL12" i="1" s="1"/>
  <c r="AK13" i="1"/>
  <c r="AL13" i="1" s="1"/>
  <c r="AK15" i="1"/>
  <c r="AL15" i="1" s="1"/>
  <c r="AK16" i="1"/>
  <c r="AL16" i="1" s="1"/>
  <c r="AK17" i="1"/>
  <c r="AL17" i="1" s="1"/>
  <c r="AK18" i="1"/>
  <c r="AL18" i="1" s="1"/>
  <c r="AK19" i="1"/>
  <c r="AL19" i="1" s="1"/>
  <c r="AK20" i="1"/>
  <c r="AL20" i="1" s="1"/>
  <c r="AK21" i="1"/>
  <c r="AL21" i="1" s="1"/>
  <c r="AK22" i="1"/>
  <c r="AL22" i="1" s="1"/>
  <c r="AK23" i="1"/>
  <c r="AL23" i="1" s="1"/>
  <c r="AK7" i="1"/>
  <c r="AL7" i="1" s="1"/>
  <c r="AK8" i="1"/>
  <c r="AL8" i="1" s="1"/>
  <c r="AK9" i="1"/>
  <c r="AL9" i="1" s="1"/>
  <c r="AK10" i="1"/>
  <c r="AL10" i="1" s="1"/>
  <c r="AK11" i="1"/>
  <c r="AL11" i="1" s="1"/>
  <c r="AK5" i="1"/>
  <c r="AL5" i="1" s="1"/>
  <c r="AK6" i="1"/>
  <c r="AL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6" i="1"/>
  <c r="R6" i="1" s="1"/>
  <c r="Q3" i="1"/>
  <c r="R3" i="1" s="1"/>
  <c r="I23" i="1"/>
  <c r="J23" i="1" s="1"/>
  <c r="K23" i="1" s="1"/>
  <c r="D23" i="1"/>
  <c r="E23" i="1" s="1"/>
  <c r="F23" i="1" s="1"/>
  <c r="I22" i="1"/>
  <c r="J22" i="1" s="1"/>
  <c r="K22" i="1" s="1"/>
  <c r="I21" i="1"/>
  <c r="J21" i="1" s="1"/>
  <c r="K21" i="1" s="1"/>
  <c r="D21" i="1"/>
  <c r="E21" i="1" s="1"/>
  <c r="F21" i="1" s="1"/>
  <c r="I20" i="1"/>
  <c r="J20" i="1" s="1"/>
  <c r="K20" i="1" s="1"/>
  <c r="D20" i="1"/>
  <c r="E20" i="1" s="1"/>
  <c r="F20" i="1" s="1"/>
  <c r="I19" i="1"/>
  <c r="J19" i="1" s="1"/>
  <c r="K19" i="1" s="1"/>
  <c r="D19" i="1"/>
  <c r="E19" i="1" s="1"/>
  <c r="F19" i="1" s="1"/>
  <c r="I18" i="1"/>
  <c r="J18" i="1" s="1"/>
  <c r="K18" i="1" s="1"/>
  <c r="I17" i="1"/>
  <c r="J17" i="1" s="1"/>
  <c r="K17" i="1" s="1"/>
  <c r="D17" i="1"/>
  <c r="E17" i="1" s="1"/>
  <c r="F17" i="1" s="1"/>
  <c r="I16" i="1"/>
  <c r="J16" i="1" s="1"/>
  <c r="K16" i="1" s="1"/>
  <c r="D16" i="1"/>
  <c r="E16" i="1" s="1"/>
  <c r="F16" i="1" s="1"/>
  <c r="I15" i="1"/>
  <c r="J15" i="1" s="1"/>
  <c r="K15" i="1" s="1"/>
  <c r="D15" i="1"/>
  <c r="E15" i="1" s="1"/>
  <c r="F15" i="1" s="1"/>
  <c r="I13" i="1"/>
  <c r="J13" i="1" s="1"/>
  <c r="K13" i="1" s="1"/>
  <c r="D13" i="1"/>
  <c r="E13" i="1" s="1"/>
  <c r="F13" i="1" s="1"/>
  <c r="I12" i="1"/>
  <c r="J12" i="1" s="1"/>
  <c r="K12" i="1" s="1"/>
  <c r="D12" i="1"/>
  <c r="E12" i="1" s="1"/>
  <c r="F12" i="1" s="1"/>
  <c r="I11" i="1"/>
  <c r="J11" i="1" s="1"/>
  <c r="K11" i="1" s="1"/>
  <c r="D11" i="1"/>
  <c r="E11" i="1" s="1"/>
  <c r="F11" i="1" s="1"/>
  <c r="I10" i="1"/>
  <c r="J10" i="1" s="1"/>
  <c r="K10" i="1" s="1"/>
  <c r="D10" i="1"/>
  <c r="E10" i="1" s="1"/>
  <c r="F10" i="1" s="1"/>
  <c r="I9" i="1"/>
  <c r="J9" i="1" s="1"/>
  <c r="K9" i="1" s="1"/>
  <c r="D9" i="1"/>
  <c r="E9" i="1" s="1"/>
  <c r="F9" i="1" s="1"/>
  <c r="I8" i="1"/>
  <c r="J8" i="1" s="1"/>
  <c r="K8" i="1" s="1"/>
  <c r="D8" i="1"/>
  <c r="E8" i="1" s="1"/>
  <c r="F8" i="1" s="1"/>
  <c r="I7" i="1"/>
  <c r="J7" i="1" s="1"/>
  <c r="K7" i="1" s="1"/>
  <c r="D7" i="1"/>
  <c r="E7" i="1" s="1"/>
  <c r="F7" i="1" s="1"/>
  <c r="D6" i="1"/>
  <c r="E6" i="1" s="1"/>
  <c r="G6" i="1" s="1"/>
  <c r="I5" i="1"/>
  <c r="J5" i="1" s="1"/>
  <c r="K5" i="1" s="1"/>
  <c r="D5" i="1"/>
  <c r="E5" i="1" s="1"/>
  <c r="G5" i="1" s="1"/>
  <c r="I3" i="1"/>
  <c r="J3" i="1" s="1"/>
  <c r="K3" i="1" s="1"/>
  <c r="D3" i="1"/>
  <c r="E3" i="1" s="1"/>
  <c r="G3" i="1" s="1"/>
  <c r="R229" i="1" l="1"/>
  <c r="AP225" i="1"/>
  <c r="R173" i="1"/>
  <c r="S235" i="1"/>
  <c r="S227" i="1"/>
  <c r="AL231" i="1"/>
  <c r="AP229" i="1"/>
  <c r="S225" i="1"/>
  <c r="AL235" i="1"/>
  <c r="L231" i="1"/>
  <c r="K231" i="1"/>
  <c r="R223" i="1"/>
  <c r="AL229" i="1"/>
  <c r="K235" i="1"/>
  <c r="R231" i="1"/>
  <c r="R222" i="1"/>
  <c r="AO232" i="1"/>
  <c r="AO228" i="1"/>
  <c r="AP223" i="1"/>
  <c r="AP173" i="1"/>
  <c r="R230" i="1"/>
  <c r="R221" i="1"/>
  <c r="AM228" i="1"/>
  <c r="AL223" i="1"/>
  <c r="S233" i="1"/>
  <c r="F222" i="1"/>
  <c r="G222" i="1"/>
  <c r="F230" i="1"/>
  <c r="G230" i="1"/>
  <c r="K222" i="1"/>
  <c r="L222" i="1"/>
  <c r="K230" i="1"/>
  <c r="L230" i="1"/>
  <c r="G223" i="1"/>
  <c r="F223" i="1"/>
  <c r="G227" i="1"/>
  <c r="F227" i="1"/>
  <c r="G231" i="1"/>
  <c r="F231" i="1"/>
  <c r="G235" i="1"/>
  <c r="F235" i="1"/>
  <c r="F228" i="1"/>
  <c r="G228" i="1"/>
  <c r="L225" i="1"/>
  <c r="K225" i="1"/>
  <c r="K228" i="1"/>
  <c r="L228" i="1"/>
  <c r="K232" i="1"/>
  <c r="L232" i="1"/>
  <c r="G233" i="1"/>
  <c r="F233" i="1"/>
  <c r="AM225" i="1"/>
  <c r="G173" i="1"/>
  <c r="AP234" i="1"/>
  <c r="AM230" i="1"/>
  <c r="AO222" i="1"/>
  <c r="L224" i="1"/>
  <c r="AM232" i="1"/>
  <c r="AL227" i="1"/>
  <c r="AO224" i="1"/>
  <c r="L227" i="1"/>
  <c r="AP231" i="1"/>
  <c r="AP226" i="1"/>
  <c r="AM222" i="1"/>
  <c r="K173" i="1"/>
  <c r="K223" i="1"/>
  <c r="AP233" i="1"/>
  <c r="AM224" i="1"/>
  <c r="AP221" i="1"/>
  <c r="G225" i="1"/>
  <c r="L233" i="1"/>
  <c r="AM233" i="1"/>
  <c r="S228" i="1"/>
  <c r="AO230" i="1"/>
  <c r="AL221" i="1"/>
  <c r="AP235" i="1"/>
  <c r="AM234" i="1"/>
  <c r="AP227" i="1"/>
  <c r="AM226" i="1"/>
  <c r="S232" i="1"/>
  <c r="S224" i="1"/>
  <c r="S234" i="1"/>
  <c r="S226" i="1"/>
  <c r="L229" i="1"/>
  <c r="L221" i="1"/>
  <c r="L234" i="1"/>
  <c r="L226" i="1"/>
  <c r="G232" i="1"/>
  <c r="G224" i="1"/>
  <c r="G229" i="1"/>
  <c r="G221" i="1"/>
  <c r="G234" i="1"/>
  <c r="G226" i="1"/>
  <c r="AM173" i="1"/>
  <c r="AM179" i="1"/>
  <c r="AL179" i="1"/>
  <c r="AJ179" i="1"/>
  <c r="AO179" i="1"/>
  <c r="R179" i="1"/>
  <c r="L179" i="1"/>
  <c r="K179" i="1"/>
  <c r="F179" i="1"/>
  <c r="L170" i="1"/>
  <c r="K170" i="1"/>
  <c r="F170" i="1"/>
  <c r="R170" i="1"/>
  <c r="AL170" i="1"/>
  <c r="AO170" i="1"/>
  <c r="L161" i="1"/>
  <c r="K161" i="1"/>
  <c r="F161" i="1"/>
  <c r="R161" i="1"/>
  <c r="AL161" i="1"/>
  <c r="AO161" i="1"/>
  <c r="G14" i="1"/>
  <c r="AP14" i="1"/>
  <c r="AM14" i="1"/>
  <c r="K14" i="1"/>
  <c r="L14" i="1"/>
  <c r="S14" i="1"/>
  <c r="AP159" i="1"/>
  <c r="AP151" i="1"/>
  <c r="AP143" i="1"/>
  <c r="AP135" i="1"/>
  <c r="AP127" i="1"/>
  <c r="AP119" i="1"/>
  <c r="AP111" i="1"/>
  <c r="AP103" i="1"/>
  <c r="AP95" i="1"/>
  <c r="AP87" i="1"/>
  <c r="AP79" i="1"/>
  <c r="AP71" i="1"/>
  <c r="AP63" i="1"/>
  <c r="AP55" i="1"/>
  <c r="AP47" i="1"/>
  <c r="AP39" i="1"/>
  <c r="AP31" i="1"/>
  <c r="AP23" i="1"/>
  <c r="AP15" i="1"/>
  <c r="S127" i="1"/>
  <c r="S119" i="1"/>
  <c r="S111" i="1"/>
  <c r="S103" i="1"/>
  <c r="S95" i="1"/>
  <c r="S87" i="1"/>
  <c r="S79" i="1"/>
  <c r="S71" i="1"/>
  <c r="S63" i="1"/>
  <c r="S55" i="1"/>
  <c r="S47" i="1"/>
  <c r="S39" i="1"/>
  <c r="S31" i="1"/>
  <c r="S23" i="1"/>
  <c r="S15" i="1"/>
  <c r="S4" i="1"/>
  <c r="AP158" i="1"/>
  <c r="AP150" i="1"/>
  <c r="AP142" i="1"/>
  <c r="AP134" i="1"/>
  <c r="AP126" i="1"/>
  <c r="AP118" i="1"/>
  <c r="AP110" i="1"/>
  <c r="AP102" i="1"/>
  <c r="AP94" i="1"/>
  <c r="AP86" i="1"/>
  <c r="AP78" i="1"/>
  <c r="AP70" i="1"/>
  <c r="AP62" i="1"/>
  <c r="AP54" i="1"/>
  <c r="AP46" i="1"/>
  <c r="AP38" i="1"/>
  <c r="AP30" i="1"/>
  <c r="AP22" i="1"/>
  <c r="AP13" i="1"/>
  <c r="S3" i="1"/>
  <c r="S126" i="1"/>
  <c r="S118" i="1"/>
  <c r="S110" i="1"/>
  <c r="S102" i="1"/>
  <c r="S94" i="1"/>
  <c r="S86" i="1"/>
  <c r="S78" i="1"/>
  <c r="S70" i="1"/>
  <c r="S62" i="1"/>
  <c r="S54" i="1"/>
  <c r="S46" i="1"/>
  <c r="S38" i="1"/>
  <c r="S30" i="1"/>
  <c r="S22" i="1"/>
  <c r="S13" i="1"/>
  <c r="AP157" i="1"/>
  <c r="AP149" i="1"/>
  <c r="AP141" i="1"/>
  <c r="AP133" i="1"/>
  <c r="AP125" i="1"/>
  <c r="AP117" i="1"/>
  <c r="AP109" i="1"/>
  <c r="AP101" i="1"/>
  <c r="AP93" i="1"/>
  <c r="AP85" i="1"/>
  <c r="AP77" i="1"/>
  <c r="AP69" i="1"/>
  <c r="AP61" i="1"/>
  <c r="AP53" i="1"/>
  <c r="AP45" i="1"/>
  <c r="AP37" i="1"/>
  <c r="AP29" i="1"/>
  <c r="AP21" i="1"/>
  <c r="AP12" i="1"/>
  <c r="S133" i="1"/>
  <c r="S125" i="1"/>
  <c r="S117" i="1"/>
  <c r="S109" i="1"/>
  <c r="S101" i="1"/>
  <c r="S93" i="1"/>
  <c r="S85" i="1"/>
  <c r="S77" i="1"/>
  <c r="S69" i="1"/>
  <c r="S61" i="1"/>
  <c r="S53" i="1"/>
  <c r="S45" i="1"/>
  <c r="S37" i="1"/>
  <c r="S29" i="1"/>
  <c r="S21" i="1"/>
  <c r="S12" i="1"/>
  <c r="AP4" i="1"/>
  <c r="AP156" i="1"/>
  <c r="AP148" i="1"/>
  <c r="AP140" i="1"/>
  <c r="AP132" i="1"/>
  <c r="AP124" i="1"/>
  <c r="AP116" i="1"/>
  <c r="AP108" i="1"/>
  <c r="AP100" i="1"/>
  <c r="AP92" i="1"/>
  <c r="AP84" i="1"/>
  <c r="AP76" i="1"/>
  <c r="AP68" i="1"/>
  <c r="AP60" i="1"/>
  <c r="AP52" i="1"/>
  <c r="AP44" i="1"/>
  <c r="AP36" i="1"/>
  <c r="AP28" i="1"/>
  <c r="AP20" i="1"/>
  <c r="AP11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28" i="1"/>
  <c r="S20" i="1"/>
  <c r="S11" i="1"/>
  <c r="AP164" i="1"/>
  <c r="AP155" i="1"/>
  <c r="AP147" i="1"/>
  <c r="AP139" i="1"/>
  <c r="AP131" i="1"/>
  <c r="AP123" i="1"/>
  <c r="AP115" i="1"/>
  <c r="AP107" i="1"/>
  <c r="AP99" i="1"/>
  <c r="AP91" i="1"/>
  <c r="AP83" i="1"/>
  <c r="AP75" i="1"/>
  <c r="AP67" i="1"/>
  <c r="AP59" i="1"/>
  <c r="AP51" i="1"/>
  <c r="AP43" i="1"/>
  <c r="AP35" i="1"/>
  <c r="AP27" i="1"/>
  <c r="AP19" i="1"/>
  <c r="AP10" i="1"/>
  <c r="S131" i="1"/>
  <c r="S123" i="1"/>
  <c r="S115" i="1"/>
  <c r="S107" i="1"/>
  <c r="S99" i="1"/>
  <c r="S91" i="1"/>
  <c r="S83" i="1"/>
  <c r="S75" i="1"/>
  <c r="S67" i="1"/>
  <c r="S59" i="1"/>
  <c r="S51" i="1"/>
  <c r="S43" i="1"/>
  <c r="S35" i="1"/>
  <c r="S27" i="1"/>
  <c r="S19" i="1"/>
  <c r="S10" i="1"/>
  <c r="AP163" i="1"/>
  <c r="AP154" i="1"/>
  <c r="AP146" i="1"/>
  <c r="AP138" i="1"/>
  <c r="AP130" i="1"/>
  <c r="AP122" i="1"/>
  <c r="AP114" i="1"/>
  <c r="AP106" i="1"/>
  <c r="AP98" i="1"/>
  <c r="AP90" i="1"/>
  <c r="AP82" i="1"/>
  <c r="AP74" i="1"/>
  <c r="AP66" i="1"/>
  <c r="AP58" i="1"/>
  <c r="AP50" i="1"/>
  <c r="AP42" i="1"/>
  <c r="AP34" i="1"/>
  <c r="AP26" i="1"/>
  <c r="AP18" i="1"/>
  <c r="S130" i="1"/>
  <c r="S122" i="1"/>
  <c r="S114" i="1"/>
  <c r="S106" i="1"/>
  <c r="S98" i="1"/>
  <c r="S90" i="1"/>
  <c r="S82" i="1"/>
  <c r="S74" i="1"/>
  <c r="S66" i="1"/>
  <c r="S58" i="1"/>
  <c r="S50" i="1"/>
  <c r="S42" i="1"/>
  <c r="S34" i="1"/>
  <c r="S26" i="1"/>
  <c r="S18" i="1"/>
  <c r="S9" i="1"/>
  <c r="AP162" i="1"/>
  <c r="AP153" i="1"/>
  <c r="AP145" i="1"/>
  <c r="AP137" i="1"/>
  <c r="AP129" i="1"/>
  <c r="AP121" i="1"/>
  <c r="AP113" i="1"/>
  <c r="AP105" i="1"/>
  <c r="AP97" i="1"/>
  <c r="AP89" i="1"/>
  <c r="AP81" i="1"/>
  <c r="AP73" i="1"/>
  <c r="AP65" i="1"/>
  <c r="AP57" i="1"/>
  <c r="AP49" i="1"/>
  <c r="AP41" i="1"/>
  <c r="AP33" i="1"/>
  <c r="AP25" i="1"/>
  <c r="AP17" i="1"/>
  <c r="AP8" i="1"/>
  <c r="AP6" i="1"/>
  <c r="S129" i="1"/>
  <c r="S121" i="1"/>
  <c r="S113" i="1"/>
  <c r="S105" i="1"/>
  <c r="S97" i="1"/>
  <c r="S89" i="1"/>
  <c r="S81" i="1"/>
  <c r="S73" i="1"/>
  <c r="S65" i="1"/>
  <c r="S57" i="1"/>
  <c r="S49" i="1"/>
  <c r="S41" i="1"/>
  <c r="S33" i="1"/>
  <c r="S25" i="1"/>
  <c r="S17" i="1"/>
  <c r="S8" i="1"/>
  <c r="S6" i="1"/>
  <c r="AP160" i="1"/>
  <c r="AP152" i="1"/>
  <c r="AP144" i="1"/>
  <c r="AP136" i="1"/>
  <c r="AP128" i="1"/>
  <c r="AP120" i="1"/>
  <c r="AP112" i="1"/>
  <c r="AP104" i="1"/>
  <c r="AP96" i="1"/>
  <c r="AP88" i="1"/>
  <c r="AP80" i="1"/>
  <c r="AP72" i="1"/>
  <c r="AP64" i="1"/>
  <c r="AP56" i="1"/>
  <c r="AP48" i="1"/>
  <c r="AP40" i="1"/>
  <c r="AP32" i="1"/>
  <c r="AP24" i="1"/>
  <c r="AP16" i="1"/>
  <c r="AP7" i="1"/>
  <c r="AP5" i="1"/>
  <c r="S128" i="1"/>
  <c r="S120" i="1"/>
  <c r="S112" i="1"/>
  <c r="S104" i="1"/>
  <c r="S96" i="1"/>
  <c r="S88" i="1"/>
  <c r="S80" i="1"/>
  <c r="S72" i="1"/>
  <c r="S64" i="1"/>
  <c r="S56" i="1"/>
  <c r="S48" i="1"/>
  <c r="S40" i="1"/>
  <c r="S32" i="1"/>
  <c r="S24" i="1"/>
  <c r="S16" i="1"/>
  <c r="S7" i="1"/>
  <c r="S5" i="1"/>
  <c r="AL207" i="1"/>
  <c r="AM75" i="1"/>
  <c r="AM67" i="1"/>
  <c r="AM218" i="1"/>
  <c r="AM210" i="1"/>
  <c r="AM202" i="1"/>
  <c r="AM194" i="1"/>
  <c r="AM186" i="1"/>
  <c r="AM177" i="1"/>
  <c r="AM167" i="1"/>
  <c r="AM157" i="1"/>
  <c r="AM149" i="1"/>
  <c r="AM141" i="1"/>
  <c r="AM133" i="1"/>
  <c r="AM125" i="1"/>
  <c r="AM117" i="1"/>
  <c r="AM109" i="1"/>
  <c r="AM101" i="1"/>
  <c r="AM93" i="1"/>
  <c r="AM85" i="1"/>
  <c r="AM77" i="1"/>
  <c r="AM69" i="1"/>
  <c r="AM61" i="1"/>
  <c r="AM53" i="1"/>
  <c r="AM45" i="1"/>
  <c r="AM37" i="1"/>
  <c r="AM29" i="1"/>
  <c r="AM21" i="1"/>
  <c r="AM12" i="1"/>
  <c r="AP216" i="1"/>
  <c r="AP208" i="1"/>
  <c r="AP200" i="1"/>
  <c r="AP192" i="1"/>
  <c r="AP184" i="1"/>
  <c r="AP175" i="1"/>
  <c r="AM217" i="1"/>
  <c r="AM209" i="1"/>
  <c r="AM201" i="1"/>
  <c r="AM193" i="1"/>
  <c r="AM185" i="1"/>
  <c r="AM176" i="1"/>
  <c r="AM166" i="1"/>
  <c r="AM156" i="1"/>
  <c r="AM148" i="1"/>
  <c r="AM140" i="1"/>
  <c r="AM132" i="1"/>
  <c r="AM124" i="1"/>
  <c r="AM116" i="1"/>
  <c r="AM108" i="1"/>
  <c r="AM100" i="1"/>
  <c r="AM92" i="1"/>
  <c r="AM84" i="1"/>
  <c r="AM76" i="1"/>
  <c r="AM68" i="1"/>
  <c r="AM60" i="1"/>
  <c r="AM52" i="1"/>
  <c r="AM44" i="1"/>
  <c r="AM36" i="1"/>
  <c r="AM28" i="1"/>
  <c r="AM20" i="1"/>
  <c r="AM11" i="1"/>
  <c r="AP215" i="1"/>
  <c r="AP207" i="1"/>
  <c r="AP199" i="1"/>
  <c r="AP191" i="1"/>
  <c r="AP183" i="1"/>
  <c r="AP174" i="1"/>
  <c r="AM216" i="1"/>
  <c r="AM208" i="1"/>
  <c r="AM200" i="1"/>
  <c r="AM192" i="1"/>
  <c r="AM184" i="1"/>
  <c r="AM175" i="1"/>
  <c r="AM164" i="1"/>
  <c r="AM155" i="1"/>
  <c r="AM147" i="1"/>
  <c r="AM139" i="1"/>
  <c r="AM131" i="1"/>
  <c r="AM123" i="1"/>
  <c r="AM115" i="1"/>
  <c r="AM107" i="1"/>
  <c r="AM99" i="1"/>
  <c r="AM91" i="1"/>
  <c r="AM83" i="1"/>
  <c r="AM59" i="1"/>
  <c r="AM51" i="1"/>
  <c r="AM43" i="1"/>
  <c r="AM35" i="1"/>
  <c r="AM27" i="1"/>
  <c r="AM19" i="1"/>
  <c r="AM10" i="1"/>
  <c r="AP214" i="1"/>
  <c r="AP206" i="1"/>
  <c r="AP198" i="1"/>
  <c r="AP190" i="1"/>
  <c r="AP182" i="1"/>
  <c r="AP172" i="1"/>
  <c r="S169" i="1"/>
  <c r="AM215" i="1"/>
  <c r="AM199" i="1"/>
  <c r="AM191" i="1"/>
  <c r="AM183" i="1"/>
  <c r="AM174" i="1"/>
  <c r="AM163" i="1"/>
  <c r="AM154" i="1"/>
  <c r="AM146" i="1"/>
  <c r="AM138" i="1"/>
  <c r="AM130" i="1"/>
  <c r="AM122" i="1"/>
  <c r="AM114" i="1"/>
  <c r="AM106" i="1"/>
  <c r="AM98" i="1"/>
  <c r="AM90" i="1"/>
  <c r="AM82" i="1"/>
  <c r="AM74" i="1"/>
  <c r="AM66" i="1"/>
  <c r="AM58" i="1"/>
  <c r="AM50" i="1"/>
  <c r="AM42" i="1"/>
  <c r="AM34" i="1"/>
  <c r="AM26" i="1"/>
  <c r="AM18" i="1"/>
  <c r="AM9" i="1"/>
  <c r="AP213" i="1"/>
  <c r="AP205" i="1"/>
  <c r="AP197" i="1"/>
  <c r="AP189" i="1"/>
  <c r="AP181" i="1"/>
  <c r="AP171" i="1"/>
  <c r="S160" i="1"/>
  <c r="AM6" i="1"/>
  <c r="AM214" i="1"/>
  <c r="AM206" i="1"/>
  <c r="AM198" i="1"/>
  <c r="AM190" i="1"/>
  <c r="AM182" i="1"/>
  <c r="AM172" i="1"/>
  <c r="AM162" i="1"/>
  <c r="AM153" i="1"/>
  <c r="AM145" i="1"/>
  <c r="AM137" i="1"/>
  <c r="AM129" i="1"/>
  <c r="AM121" i="1"/>
  <c r="AM113" i="1"/>
  <c r="AM105" i="1"/>
  <c r="AM97" i="1"/>
  <c r="AM89" i="1"/>
  <c r="AM81" i="1"/>
  <c r="AM73" i="1"/>
  <c r="AM65" i="1"/>
  <c r="AM57" i="1"/>
  <c r="AM49" i="1"/>
  <c r="AM41" i="1"/>
  <c r="AM33" i="1"/>
  <c r="AM25" i="1"/>
  <c r="AM17" i="1"/>
  <c r="AM8" i="1"/>
  <c r="AP220" i="1"/>
  <c r="AP212" i="1"/>
  <c r="AP204" i="1"/>
  <c r="AP196" i="1"/>
  <c r="AP188" i="1"/>
  <c r="AP180" i="1"/>
  <c r="AP169" i="1"/>
  <c r="S152" i="1"/>
  <c r="AM5" i="1"/>
  <c r="AM213" i="1"/>
  <c r="AM205" i="1"/>
  <c r="AM197" i="1"/>
  <c r="AM189" i="1"/>
  <c r="AM181" i="1"/>
  <c r="AM171" i="1"/>
  <c r="AM160" i="1"/>
  <c r="AM152" i="1"/>
  <c r="AM144" i="1"/>
  <c r="AM136" i="1"/>
  <c r="AM128" i="1"/>
  <c r="AM120" i="1"/>
  <c r="AM112" i="1"/>
  <c r="AM104" i="1"/>
  <c r="AM96" i="1"/>
  <c r="AM88" i="1"/>
  <c r="AM80" i="1"/>
  <c r="AM72" i="1"/>
  <c r="AM64" i="1"/>
  <c r="AM56" i="1"/>
  <c r="AM48" i="1"/>
  <c r="AM40" i="1"/>
  <c r="AM32" i="1"/>
  <c r="AM24" i="1"/>
  <c r="AM16" i="1"/>
  <c r="AM7" i="1"/>
  <c r="AP219" i="1"/>
  <c r="AP211" i="1"/>
  <c r="AP203" i="1"/>
  <c r="AP195" i="1"/>
  <c r="AP187" i="1"/>
  <c r="AP178" i="1"/>
  <c r="AP168" i="1"/>
  <c r="AM4" i="1"/>
  <c r="AM220" i="1"/>
  <c r="AM212" i="1"/>
  <c r="AM204" i="1"/>
  <c r="AM196" i="1"/>
  <c r="AM188" i="1"/>
  <c r="AM180" i="1"/>
  <c r="AM169" i="1"/>
  <c r="AM159" i="1"/>
  <c r="AM151" i="1"/>
  <c r="AM143" i="1"/>
  <c r="AM135" i="1"/>
  <c r="AM127" i="1"/>
  <c r="AM119" i="1"/>
  <c r="AM111" i="1"/>
  <c r="AM103" i="1"/>
  <c r="AM95" i="1"/>
  <c r="AM87" i="1"/>
  <c r="AM79" i="1"/>
  <c r="AM71" i="1"/>
  <c r="AM63" i="1"/>
  <c r="AM55" i="1"/>
  <c r="AM47" i="1"/>
  <c r="AM39" i="1"/>
  <c r="AM31" i="1"/>
  <c r="AM23" i="1"/>
  <c r="AM15" i="1"/>
  <c r="AP218" i="1"/>
  <c r="AP210" i="1"/>
  <c r="AP202" i="1"/>
  <c r="AP194" i="1"/>
  <c r="AP186" i="1"/>
  <c r="AP177" i="1"/>
  <c r="AP167" i="1"/>
  <c r="AM219" i="1"/>
  <c r="AM211" i="1"/>
  <c r="AM203" i="1"/>
  <c r="AM195" i="1"/>
  <c r="AM187" i="1"/>
  <c r="AM178" i="1"/>
  <c r="AM168" i="1"/>
  <c r="AM158" i="1"/>
  <c r="AM150" i="1"/>
  <c r="AM142" i="1"/>
  <c r="AM134" i="1"/>
  <c r="AM126" i="1"/>
  <c r="AM118" i="1"/>
  <c r="AM110" i="1"/>
  <c r="AM102" i="1"/>
  <c r="AM94" i="1"/>
  <c r="AM86" i="1"/>
  <c r="AM78" i="1"/>
  <c r="AM70" i="1"/>
  <c r="AM62" i="1"/>
  <c r="AM54" i="1"/>
  <c r="AM46" i="1"/>
  <c r="AM38" i="1"/>
  <c r="AM30" i="1"/>
  <c r="AM22" i="1"/>
  <c r="AM13" i="1"/>
  <c r="AP217" i="1"/>
  <c r="AP209" i="1"/>
  <c r="AP201" i="1"/>
  <c r="AP193" i="1"/>
  <c r="AP185" i="1"/>
  <c r="AP176" i="1"/>
  <c r="AP166" i="1"/>
  <c r="S138" i="1"/>
  <c r="S220" i="1"/>
  <c r="S212" i="1"/>
  <c r="S204" i="1"/>
  <c r="S196" i="1"/>
  <c r="S188" i="1"/>
  <c r="S180" i="1"/>
  <c r="S137" i="1"/>
  <c r="S168" i="1"/>
  <c r="S159" i="1"/>
  <c r="S151" i="1"/>
  <c r="S219" i="1"/>
  <c r="S211" i="1"/>
  <c r="S203" i="1"/>
  <c r="S195" i="1"/>
  <c r="S187" i="1"/>
  <c r="S178" i="1"/>
  <c r="S144" i="1"/>
  <c r="S136" i="1"/>
  <c r="S167" i="1"/>
  <c r="S158" i="1"/>
  <c r="S150" i="1"/>
  <c r="S218" i="1"/>
  <c r="S210" i="1"/>
  <c r="S202" i="1"/>
  <c r="S194" i="1"/>
  <c r="S186" i="1"/>
  <c r="S177" i="1"/>
  <c r="S143" i="1"/>
  <c r="S135" i="1"/>
  <c r="S166" i="1"/>
  <c r="S157" i="1"/>
  <c r="S149" i="1"/>
  <c r="S217" i="1"/>
  <c r="S209" i="1"/>
  <c r="S201" i="1"/>
  <c r="S193" i="1"/>
  <c r="S185" i="1"/>
  <c r="S176" i="1"/>
  <c r="S142" i="1"/>
  <c r="S165" i="1"/>
  <c r="S156" i="1"/>
  <c r="S148" i="1"/>
  <c r="S216" i="1"/>
  <c r="S208" i="1"/>
  <c r="S200" i="1"/>
  <c r="S192" i="1"/>
  <c r="S184" i="1"/>
  <c r="S175" i="1"/>
  <c r="S141" i="1"/>
  <c r="S164" i="1"/>
  <c r="S155" i="1"/>
  <c r="S147" i="1"/>
  <c r="S215" i="1"/>
  <c r="S207" i="1"/>
  <c r="S199" i="1"/>
  <c r="S191" i="1"/>
  <c r="S183" i="1"/>
  <c r="S174" i="1"/>
  <c r="S140" i="1"/>
  <c r="S163" i="1"/>
  <c r="S154" i="1"/>
  <c r="S146" i="1"/>
  <c r="S214" i="1"/>
  <c r="S206" i="1"/>
  <c r="S198" i="1"/>
  <c r="S190" i="1"/>
  <c r="S182" i="1"/>
  <c r="S172" i="1"/>
  <c r="S139" i="1"/>
  <c r="S162" i="1"/>
  <c r="S153" i="1"/>
  <c r="S145" i="1"/>
  <c r="S213" i="1"/>
  <c r="S205" i="1"/>
  <c r="S197" i="1"/>
  <c r="S189" i="1"/>
  <c r="S181" i="1"/>
  <c r="S171" i="1"/>
  <c r="G25" i="1"/>
  <c r="G32" i="1"/>
  <c r="G219" i="1"/>
  <c r="G187" i="1"/>
  <c r="G151" i="1"/>
  <c r="G119" i="1"/>
  <c r="L8" i="1"/>
  <c r="L29" i="1"/>
  <c r="L21" i="1"/>
  <c r="L12" i="1"/>
  <c r="L40" i="1"/>
  <c r="L48" i="1"/>
  <c r="L56" i="1"/>
  <c r="L68" i="1"/>
  <c r="L60" i="1"/>
  <c r="L128" i="1"/>
  <c r="L120" i="1"/>
  <c r="L112" i="1"/>
  <c r="L104" i="1"/>
  <c r="L96" i="1"/>
  <c r="L88" i="1"/>
  <c r="L80" i="1"/>
  <c r="L158" i="1"/>
  <c r="L150" i="1"/>
  <c r="L142" i="1"/>
  <c r="L188" i="1"/>
  <c r="L180" i="1"/>
  <c r="L169" i="1"/>
  <c r="L220" i="1"/>
  <c r="L212" i="1"/>
  <c r="L204" i="1"/>
  <c r="L196" i="1"/>
  <c r="G23" i="1"/>
  <c r="G26" i="1"/>
  <c r="G217" i="1"/>
  <c r="G185" i="1"/>
  <c r="G149" i="1"/>
  <c r="G117" i="1"/>
  <c r="L7" i="1"/>
  <c r="L28" i="1"/>
  <c r="L20" i="1"/>
  <c r="L11" i="1"/>
  <c r="L41" i="1"/>
  <c r="L49" i="1"/>
  <c r="L57" i="1"/>
  <c r="L67" i="1"/>
  <c r="L59" i="1"/>
  <c r="L127" i="1"/>
  <c r="L119" i="1"/>
  <c r="L111" i="1"/>
  <c r="L103" i="1"/>
  <c r="L95" i="1"/>
  <c r="L87" i="1"/>
  <c r="L79" i="1"/>
  <c r="L157" i="1"/>
  <c r="L149" i="1"/>
  <c r="L141" i="1"/>
  <c r="L187" i="1"/>
  <c r="L178" i="1"/>
  <c r="L168" i="1"/>
  <c r="L219" i="1"/>
  <c r="L211" i="1"/>
  <c r="L203" i="1"/>
  <c r="L195" i="1"/>
  <c r="G12" i="1"/>
  <c r="G94" i="1"/>
  <c r="G211" i="1"/>
  <c r="G178" i="1"/>
  <c r="G143" i="1"/>
  <c r="G111" i="1"/>
  <c r="L27" i="1"/>
  <c r="L19" i="1"/>
  <c r="L10" i="1"/>
  <c r="L42" i="1"/>
  <c r="L50" i="1"/>
  <c r="L58" i="1"/>
  <c r="L66" i="1"/>
  <c r="L134" i="1"/>
  <c r="L126" i="1"/>
  <c r="L118" i="1"/>
  <c r="L110" i="1"/>
  <c r="L102" i="1"/>
  <c r="L94" i="1"/>
  <c r="L86" i="1"/>
  <c r="L78" i="1"/>
  <c r="L156" i="1"/>
  <c r="L148" i="1"/>
  <c r="L140" i="1"/>
  <c r="L186" i="1"/>
  <c r="L177" i="1"/>
  <c r="L167" i="1"/>
  <c r="L218" i="1"/>
  <c r="L210" i="1"/>
  <c r="L202" i="1"/>
  <c r="L194" i="1"/>
  <c r="G58" i="1"/>
  <c r="G88" i="1"/>
  <c r="G209" i="1"/>
  <c r="G176" i="1"/>
  <c r="G141" i="1"/>
  <c r="G109" i="1"/>
  <c r="L26" i="1"/>
  <c r="L18" i="1"/>
  <c r="L38" i="1"/>
  <c r="L43" i="1"/>
  <c r="L51" i="1"/>
  <c r="L74" i="1"/>
  <c r="L65" i="1"/>
  <c r="L133" i="1"/>
  <c r="L125" i="1"/>
  <c r="L117" i="1"/>
  <c r="L109" i="1"/>
  <c r="L101" i="1"/>
  <c r="L93" i="1"/>
  <c r="L85" i="1"/>
  <c r="L77" i="1"/>
  <c r="L155" i="1"/>
  <c r="L147" i="1"/>
  <c r="L139" i="1"/>
  <c r="L185" i="1"/>
  <c r="L176" i="1"/>
  <c r="L166" i="1"/>
  <c r="L217" i="1"/>
  <c r="L209" i="1"/>
  <c r="L201" i="1"/>
  <c r="L193" i="1"/>
  <c r="F3" i="1"/>
  <c r="G50" i="1"/>
  <c r="G86" i="1"/>
  <c r="G203" i="1"/>
  <c r="G168" i="1"/>
  <c r="G135" i="1"/>
  <c r="L3" i="1"/>
  <c r="L33" i="1"/>
  <c r="L25" i="1"/>
  <c r="L17" i="1"/>
  <c r="L37" i="1"/>
  <c r="L44" i="1"/>
  <c r="L52" i="1"/>
  <c r="L73" i="1"/>
  <c r="L64" i="1"/>
  <c r="L132" i="1"/>
  <c r="L124" i="1"/>
  <c r="L116" i="1"/>
  <c r="L108" i="1"/>
  <c r="L100" i="1"/>
  <c r="L92" i="1"/>
  <c r="L84" i="1"/>
  <c r="L76" i="1"/>
  <c r="L154" i="1"/>
  <c r="L146" i="1"/>
  <c r="L138" i="1"/>
  <c r="L184" i="1"/>
  <c r="L175" i="1"/>
  <c r="L165" i="1"/>
  <c r="L216" i="1"/>
  <c r="L208" i="1"/>
  <c r="L200" i="1"/>
  <c r="L192" i="1"/>
  <c r="G48" i="1"/>
  <c r="G80" i="1"/>
  <c r="G201" i="1"/>
  <c r="G166" i="1"/>
  <c r="G133" i="1"/>
  <c r="L5" i="1"/>
  <c r="L32" i="1"/>
  <c r="L24" i="1"/>
  <c r="L16" i="1"/>
  <c r="L36" i="1"/>
  <c r="L45" i="1"/>
  <c r="L53" i="1"/>
  <c r="L72" i="1"/>
  <c r="L63" i="1"/>
  <c r="L131" i="1"/>
  <c r="L123" i="1"/>
  <c r="L115" i="1"/>
  <c r="L107" i="1"/>
  <c r="L99" i="1"/>
  <c r="L91" i="1"/>
  <c r="L83" i="1"/>
  <c r="L75" i="1"/>
  <c r="L153" i="1"/>
  <c r="L145" i="1"/>
  <c r="L137" i="1"/>
  <c r="L183" i="1"/>
  <c r="L174" i="1"/>
  <c r="L164" i="1"/>
  <c r="L215" i="1"/>
  <c r="L207" i="1"/>
  <c r="L199" i="1"/>
  <c r="L191" i="1"/>
  <c r="G40" i="1"/>
  <c r="G78" i="1"/>
  <c r="G195" i="1"/>
  <c r="G159" i="1"/>
  <c r="G127" i="1"/>
  <c r="L4" i="1"/>
  <c r="L31" i="1"/>
  <c r="L23" i="1"/>
  <c r="L15" i="1"/>
  <c r="L35" i="1"/>
  <c r="L46" i="1"/>
  <c r="L54" i="1"/>
  <c r="L70" i="1"/>
  <c r="L62" i="1"/>
  <c r="L130" i="1"/>
  <c r="L122" i="1"/>
  <c r="L114" i="1"/>
  <c r="L106" i="1"/>
  <c r="L98" i="1"/>
  <c r="L90" i="1"/>
  <c r="L82" i="1"/>
  <c r="L160" i="1"/>
  <c r="L152" i="1"/>
  <c r="L144" i="1"/>
  <c r="L136" i="1"/>
  <c r="L182" i="1"/>
  <c r="L172" i="1"/>
  <c r="L163" i="1"/>
  <c r="L214" i="1"/>
  <c r="L206" i="1"/>
  <c r="L198" i="1"/>
  <c r="L190" i="1"/>
  <c r="G34" i="1"/>
  <c r="G72" i="1"/>
  <c r="G193" i="1"/>
  <c r="G157" i="1"/>
  <c r="G125" i="1"/>
  <c r="L9" i="1"/>
  <c r="L30" i="1"/>
  <c r="L22" i="1"/>
  <c r="L13" i="1"/>
  <c r="L39" i="1"/>
  <c r="L47" i="1"/>
  <c r="L55" i="1"/>
  <c r="L69" i="1"/>
  <c r="L61" i="1"/>
  <c r="L129" i="1"/>
  <c r="L121" i="1"/>
  <c r="L113" i="1"/>
  <c r="L105" i="1"/>
  <c r="L97" i="1"/>
  <c r="L89" i="1"/>
  <c r="L81" i="1"/>
  <c r="L159" i="1"/>
  <c r="L151" i="1"/>
  <c r="L143" i="1"/>
  <c r="L135" i="1"/>
  <c r="L181" i="1"/>
  <c r="L171" i="1"/>
  <c r="L162" i="1"/>
  <c r="L213" i="1"/>
  <c r="L205" i="1"/>
  <c r="L197" i="1"/>
  <c r="L189" i="1"/>
  <c r="G103" i="1"/>
  <c r="G15" i="1"/>
  <c r="G42" i="1"/>
  <c r="G24" i="1"/>
  <c r="G13" i="1"/>
  <c r="G65" i="1"/>
  <c r="G57" i="1"/>
  <c r="G49" i="1"/>
  <c r="G41" i="1"/>
  <c r="G33" i="1"/>
  <c r="G95" i="1"/>
  <c r="G87" i="1"/>
  <c r="G79" i="1"/>
  <c r="G71" i="1"/>
  <c r="G218" i="1"/>
  <c r="G210" i="1"/>
  <c r="G202" i="1"/>
  <c r="G194" i="1"/>
  <c r="G186" i="1"/>
  <c r="G177" i="1"/>
  <c r="G167" i="1"/>
  <c r="G158" i="1"/>
  <c r="G150" i="1"/>
  <c r="G142" i="1"/>
  <c r="G134" i="1"/>
  <c r="G126" i="1"/>
  <c r="G118" i="1"/>
  <c r="G110" i="1"/>
  <c r="G102" i="1"/>
  <c r="G101" i="1"/>
  <c r="G21" i="1"/>
  <c r="G11" i="1"/>
  <c r="G63" i="1"/>
  <c r="G55" i="1"/>
  <c r="G47" i="1"/>
  <c r="G39" i="1"/>
  <c r="G31" i="1"/>
  <c r="G93" i="1"/>
  <c r="G85" i="1"/>
  <c r="G77" i="1"/>
  <c r="G69" i="1"/>
  <c r="G216" i="1"/>
  <c r="G208" i="1"/>
  <c r="G200" i="1"/>
  <c r="G192" i="1"/>
  <c r="G184" i="1"/>
  <c r="G175" i="1"/>
  <c r="G165" i="1"/>
  <c r="G156" i="1"/>
  <c r="G148" i="1"/>
  <c r="G140" i="1"/>
  <c r="G132" i="1"/>
  <c r="G124" i="1"/>
  <c r="G116" i="1"/>
  <c r="G108" i="1"/>
  <c r="G100" i="1"/>
  <c r="G20" i="1"/>
  <c r="G10" i="1"/>
  <c r="G62" i="1"/>
  <c r="G54" i="1"/>
  <c r="G46" i="1"/>
  <c r="G38" i="1"/>
  <c r="G30" i="1"/>
  <c r="G92" i="1"/>
  <c r="G84" i="1"/>
  <c r="G76" i="1"/>
  <c r="G68" i="1"/>
  <c r="G215" i="1"/>
  <c r="G207" i="1"/>
  <c r="G199" i="1"/>
  <c r="G191" i="1"/>
  <c r="G183" i="1"/>
  <c r="G174" i="1"/>
  <c r="G164" i="1"/>
  <c r="G155" i="1"/>
  <c r="G147" i="1"/>
  <c r="G139" i="1"/>
  <c r="G131" i="1"/>
  <c r="G123" i="1"/>
  <c r="G115" i="1"/>
  <c r="G107" i="1"/>
  <c r="G99" i="1"/>
  <c r="G56" i="1"/>
  <c r="G19" i="1"/>
  <c r="G9" i="1"/>
  <c r="G61" i="1"/>
  <c r="G53" i="1"/>
  <c r="G45" i="1"/>
  <c r="G37" i="1"/>
  <c r="G29" i="1"/>
  <c r="G91" i="1"/>
  <c r="G83" i="1"/>
  <c r="G75" i="1"/>
  <c r="G67" i="1"/>
  <c r="G214" i="1"/>
  <c r="G206" i="1"/>
  <c r="G198" i="1"/>
  <c r="G190" i="1"/>
  <c r="G182" i="1"/>
  <c r="G172" i="1"/>
  <c r="G163" i="1"/>
  <c r="G154" i="1"/>
  <c r="G146" i="1"/>
  <c r="G138" i="1"/>
  <c r="G130" i="1"/>
  <c r="G122" i="1"/>
  <c r="G114" i="1"/>
  <c r="G106" i="1"/>
  <c r="G98" i="1"/>
  <c r="G64" i="1"/>
  <c r="G70" i="1"/>
  <c r="G17" i="1"/>
  <c r="G8" i="1"/>
  <c r="G60" i="1"/>
  <c r="G52" i="1"/>
  <c r="G44" i="1"/>
  <c r="G36" i="1"/>
  <c r="G28" i="1"/>
  <c r="G90" i="1"/>
  <c r="G82" i="1"/>
  <c r="G74" i="1"/>
  <c r="G66" i="1"/>
  <c r="G213" i="1"/>
  <c r="G205" i="1"/>
  <c r="G197" i="1"/>
  <c r="G189" i="1"/>
  <c r="G181" i="1"/>
  <c r="G171" i="1"/>
  <c r="G162" i="1"/>
  <c r="G153" i="1"/>
  <c r="G145" i="1"/>
  <c r="G137" i="1"/>
  <c r="G129" i="1"/>
  <c r="G121" i="1"/>
  <c r="G113" i="1"/>
  <c r="G105" i="1"/>
  <c r="G97" i="1"/>
  <c r="G16" i="1"/>
  <c r="G7" i="1"/>
  <c r="G59" i="1"/>
  <c r="G51" i="1"/>
  <c r="G43" i="1"/>
  <c r="G35" i="1"/>
  <c r="G27" i="1"/>
  <c r="G89" i="1"/>
  <c r="G81" i="1"/>
  <c r="G73" i="1"/>
  <c r="G220" i="1"/>
  <c r="G212" i="1"/>
  <c r="G204" i="1"/>
  <c r="G196" i="1"/>
  <c r="G188" i="1"/>
  <c r="G180" i="1"/>
  <c r="G169" i="1"/>
  <c r="G160" i="1"/>
  <c r="G152" i="1"/>
  <c r="G144" i="1"/>
  <c r="G136" i="1"/>
  <c r="G128" i="1"/>
  <c r="G120" i="1"/>
  <c r="G112" i="1"/>
  <c r="G104" i="1"/>
  <c r="G96" i="1"/>
  <c r="F5" i="1"/>
  <c r="E4" i="1"/>
  <c r="F6" i="1"/>
  <c r="AN9" i="1"/>
  <c r="AP9" i="1" s="1"/>
  <c r="AO9" i="1" l="1"/>
  <c r="F4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tc={23749E65-9AF0-2A45-8C04-50E223B14BB4}</author>
    <author>tc={55129F70-76EC-9547-9A2F-81BA71B65573}</author>
    <author>tc={E178ACD4-3188-4349-AABC-E01E623CF9A1}</author>
  </authors>
  <commentList>
    <comment ref="N78" authorId="0" shapeId="0" xr:uid="{23749E65-9AF0-2A45-8C04-50E223B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visible</t>
      </text>
    </comment>
    <comment ref="N79" authorId="1" shapeId="0" xr:uid="{55129F70-76EC-9547-9A2F-81BA71B65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visible</t>
      </text>
    </comment>
    <comment ref="N80" authorId="2" shapeId="0" xr:uid="{E178ACD4-3188-4349-AABC-E01E623CF9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visible</t>
      </text>
    </comment>
  </commentList>
</comments>
</file>

<file path=xl/sharedStrings.xml><?xml version="1.0" encoding="utf-8"?>
<sst xmlns="http://schemas.openxmlformats.org/spreadsheetml/2006/main" count="1350" uniqueCount="264">
  <si>
    <t>Impedance (log|Ohm|, @24h 10-2 Hz)</t>
  </si>
  <si>
    <t>Impedance (|Ohm|, @24h 10-2 Hz)</t>
  </si>
  <si>
    <t>Impedance (log|Ohm|, @2h 10-2 Hz)</t>
  </si>
  <si>
    <t>Impedance (|Ohm|, @2h 10-2 Hz)</t>
  </si>
  <si>
    <t>Ecorr (mV)</t>
  </si>
  <si>
    <t>icorr (uA)</t>
  </si>
  <si>
    <t>Beta_a (mV)</t>
  </si>
  <si>
    <t>Beta_c (mV)</t>
  </si>
  <si>
    <t>Sample Type</t>
  </si>
  <si>
    <t>Impedance (|kOhm-cm2|, @24h 10-2 Hz)</t>
  </si>
  <si>
    <t>Impedance (|kOhm-cm2|, @2h 10-2 Hz)</t>
  </si>
  <si>
    <t>jcorr (nA/cm2)</t>
  </si>
  <si>
    <t>LPR 24h (kOhm-cm2)</t>
  </si>
  <si>
    <t>LPR Trapezoidal Average (kOhm-cm2)</t>
  </si>
  <si>
    <t>ΔE (mV)</t>
  </si>
  <si>
    <t>Inhibitor Efficiency - EIS24h</t>
  </si>
  <si>
    <t>Inhibitor Efficiency - LPR24h</t>
  </si>
  <si>
    <t>Inhibitor Efficiency - LPRavg</t>
  </si>
  <si>
    <t>Inhibitor Efficiency - PDP24h</t>
  </si>
  <si>
    <t>Ebr (mV)</t>
  </si>
  <si>
    <t>Uninhibited (0.1M NaCl)</t>
  </si>
  <si>
    <t>CAS#</t>
  </si>
  <si>
    <t>-</t>
  </si>
  <si>
    <t>95-14-7</t>
  </si>
  <si>
    <t>1072-71-5</t>
  </si>
  <si>
    <t>134-23-6</t>
  </si>
  <si>
    <t>583-39-1</t>
  </si>
  <si>
    <t>367-51-1</t>
  </si>
  <si>
    <t>6131-90-4</t>
  </si>
  <si>
    <t>69-72-7</t>
  </si>
  <si>
    <t>65-49-6</t>
  </si>
  <si>
    <t>58-08-2</t>
  </si>
  <si>
    <t>58-55-9</t>
  </si>
  <si>
    <t>83-67-0</t>
  </si>
  <si>
    <t>98-98-6</t>
  </si>
  <si>
    <t>61-82-5</t>
  </si>
  <si>
    <t>16691-43-3</t>
  </si>
  <si>
    <t>144-62-7</t>
  </si>
  <si>
    <t>304655-78-5</t>
  </si>
  <si>
    <t>60-56-0</t>
  </si>
  <si>
    <t>2637-34-5</t>
  </si>
  <si>
    <t>366-18-7</t>
  </si>
  <si>
    <t>148-24-3</t>
  </si>
  <si>
    <t>16042-25-4</t>
  </si>
  <si>
    <t>2360-22-7</t>
  </si>
  <si>
    <t>578-66-5</t>
  </si>
  <si>
    <t>61-54-1</t>
  </si>
  <si>
    <t>62-56-6</t>
  </si>
  <si>
    <t>441-38-3</t>
  </si>
  <si>
    <t>79-40-3</t>
  </si>
  <si>
    <t>72-14-0</t>
  </si>
  <si>
    <t>147-93-3</t>
  </si>
  <si>
    <t>119-80-2</t>
  </si>
  <si>
    <t>93-10-7</t>
  </si>
  <si>
    <t>1074-36-8</t>
  </si>
  <si>
    <t>2986-17-6</t>
  </si>
  <si>
    <t>118-92-3</t>
  </si>
  <si>
    <t>7177-48-2</t>
  </si>
  <si>
    <t>94-67-7</t>
  </si>
  <si>
    <t>1450-85-7</t>
  </si>
  <si>
    <t>59-67-6</t>
  </si>
  <si>
    <t>73-22-3</t>
  </si>
  <si>
    <t>3411-95-8</t>
  </si>
  <si>
    <t>55-22-1</t>
  </si>
  <si>
    <t>6381-59-5</t>
  </si>
  <si>
    <t>288-88-0</t>
  </si>
  <si>
    <t>122-20-3</t>
  </si>
  <si>
    <t>88-99-3</t>
  </si>
  <si>
    <t>25155-30-0</t>
  </si>
  <si>
    <t>79-42-5</t>
  </si>
  <si>
    <t>92823-43-3</t>
  </si>
  <si>
    <t>849061-97-8</t>
  </si>
  <si>
    <t>532-32-1</t>
  </si>
  <si>
    <t>141433-60-5</t>
  </si>
  <si>
    <t>593-84-0</t>
  </si>
  <si>
    <t>141-43-5</t>
  </si>
  <si>
    <t>835-64-3</t>
  </si>
  <si>
    <t>20624-25-3</t>
  </si>
  <si>
    <t>5108-96-3</t>
  </si>
  <si>
    <t>107-96-0</t>
  </si>
  <si>
    <t>370-81-0</t>
  </si>
  <si>
    <t>1632-83-3</t>
  </si>
  <si>
    <t>137-16-6</t>
  </si>
  <si>
    <t>98-91-9</t>
  </si>
  <si>
    <t>149-30-4</t>
  </si>
  <si>
    <t>699014-53-4</t>
  </si>
  <si>
    <t>151-21-3</t>
  </si>
  <si>
    <t>4628-94-8</t>
  </si>
  <si>
    <t>66905-23-5</t>
  </si>
  <si>
    <t>121-33-5</t>
  </si>
  <si>
    <t>25660-70-2</t>
  </si>
  <si>
    <t>100-97-0</t>
  </si>
  <si>
    <t>2425-79-8</t>
  </si>
  <si>
    <t>Benzotriazole</t>
  </si>
  <si>
    <t>2,5-dimercapto-1,3,4 thiadiazole</t>
  </si>
  <si>
    <t>2-mercaptobenzoate</t>
  </si>
  <si>
    <t>2-mercaptobenzimidazole</t>
  </si>
  <si>
    <t>Salicylic acid</t>
  </si>
  <si>
    <t>4-amino-salicylic acid</t>
  </si>
  <si>
    <t>Caffeine</t>
  </si>
  <si>
    <t>Theophylline</t>
  </si>
  <si>
    <t>Theobromine</t>
  </si>
  <si>
    <t>2-picolinic acid</t>
  </si>
  <si>
    <t>3-amino-1,2,4-triazole</t>
  </si>
  <si>
    <t>3-amino-5-mercapto-1,2,4-triazole</t>
  </si>
  <si>
    <t>Oxalic acid</t>
  </si>
  <si>
    <t>2-mercapto-1-methylimidazole</t>
  </si>
  <si>
    <t>2-mercaptopyridine</t>
  </si>
  <si>
    <t>2-2-bipyrdyl</t>
  </si>
  <si>
    <t>8-hydroxyquinoline</t>
  </si>
  <si>
    <t>1-methyl-1-H-benzimidazole-2-thiol</t>
  </si>
  <si>
    <t>1-H-imidazole-2-carboxylic acid</t>
  </si>
  <si>
    <t>8-aminoquinoline</t>
  </si>
  <si>
    <t>Tryptamine</t>
  </si>
  <si>
    <t>Thiourea</t>
  </si>
  <si>
    <t>Dithiooxonamide</t>
  </si>
  <si>
    <t>Sulfathiazole</t>
  </si>
  <si>
    <t>Thiosalycylic acid</t>
  </si>
  <si>
    <t>2-2'-dithiobenzoic acid</t>
  </si>
  <si>
    <t>Quinaldic acid</t>
  </si>
  <si>
    <t>4-mercaptobenzoic acid</t>
  </si>
  <si>
    <t>1,3-diisopropyl-2-thiourea</t>
  </si>
  <si>
    <t>Anthranilic acid</t>
  </si>
  <si>
    <t>Salicylaldoxime</t>
  </si>
  <si>
    <t>2-mercaptopyrimidine</t>
  </si>
  <si>
    <t>Nicotinic acid</t>
  </si>
  <si>
    <t>L-tryptophan</t>
  </si>
  <si>
    <t>2-2-hydroxyphenyl benzothiazole</t>
  </si>
  <si>
    <t>Isonicotinic acid</t>
  </si>
  <si>
    <t>1,2,4-triazole</t>
  </si>
  <si>
    <t>Triisoproponalamine</t>
  </si>
  <si>
    <t>Phtalic acid</t>
  </si>
  <si>
    <t>Thiolactic acid</t>
  </si>
  <si>
    <t>6-mercaptopyridine-3-carboxyclic acid</t>
  </si>
  <si>
    <t>Quercetin</t>
  </si>
  <si>
    <t>Berberine chloride</t>
  </si>
  <si>
    <t>Guanidine thiocyanate</t>
  </si>
  <si>
    <t>Ethanolamine</t>
  </si>
  <si>
    <t>2-(2-hydroxyphenyl)-benzoxazole</t>
  </si>
  <si>
    <t>Ammonium pyrollidinedithiocarbomate</t>
  </si>
  <si>
    <t>3-mercaptopropionic acid</t>
  </si>
  <si>
    <t>Biscyclohexanone oxaldihydrazone</t>
  </si>
  <si>
    <t>1-methyl-benzimidazole</t>
  </si>
  <si>
    <t>Thiobenzoic acid</t>
  </si>
  <si>
    <t>1,3,4-thiadiazole-2,5-dithiol dipotassium salt</t>
  </si>
  <si>
    <t>Vanilin</t>
  </si>
  <si>
    <t>2-amino-5-ethylthio-1,3,4-thiadiazole</t>
  </si>
  <si>
    <t>Hexamethylenetetramine</t>
  </si>
  <si>
    <t>1,4-butanediol diglycydyl ether</t>
  </si>
  <si>
    <t>3-amino-1,2,4-triazole-5-carboxyclic acid</t>
  </si>
  <si>
    <t xml:space="preserve">Ampicillin </t>
  </si>
  <si>
    <t>Inhibitor Power - EIS24h</t>
  </si>
  <si>
    <t>Inhibitor Power - EIS2h</t>
  </si>
  <si>
    <t>Inhibitor Power - PDP24h</t>
  </si>
  <si>
    <t>Inhibitor Power - LPR24h</t>
  </si>
  <si>
    <t>Inhibitor Power - LPRavg</t>
  </si>
  <si>
    <t>Sodium acetate</t>
  </si>
  <si>
    <t>Sodium mercaptoacetate</t>
  </si>
  <si>
    <t>Sodium diethyldithiocarbomate</t>
  </si>
  <si>
    <t>Benzoin oxime</t>
  </si>
  <si>
    <t xml:space="preserve">Potassium sodium tartrate </t>
  </si>
  <si>
    <t>Sodium dodecyl benzenesulfonate</t>
  </si>
  <si>
    <t>Sodium benzoate</t>
  </si>
  <si>
    <t>Sodium lauroylsarcosine</t>
  </si>
  <si>
    <t>Iron gluconate</t>
  </si>
  <si>
    <t>Calcium-D-glucomate</t>
  </si>
  <si>
    <t>Electrochemical Impedance Spectroscopy (EIS)</t>
  </si>
  <si>
    <t>Potentiodynamic Polarization (PDP)</t>
  </si>
  <si>
    <t>Linear Polarization Resistance (LPR)</t>
  </si>
  <si>
    <t>LPR 30min (Ohm)</t>
  </si>
  <si>
    <t>LPR 1h (Ohm)</t>
  </si>
  <si>
    <t>LPR 2h (Ohm)</t>
  </si>
  <si>
    <t>LPR 3h (Ohm)</t>
  </si>
  <si>
    <t>LPR 6h (Ohm)</t>
  </si>
  <si>
    <t>LPR 12h (Ohm)</t>
  </si>
  <si>
    <t>LPR 18h (Ohm)</t>
  </si>
  <si>
    <t>LPR 24h (Ohm)</t>
  </si>
  <si>
    <t>type</t>
  </si>
  <si>
    <t>N, aliphatic</t>
  </si>
  <si>
    <t>N, aromatic</t>
  </si>
  <si>
    <t>NO, aromatic</t>
  </si>
  <si>
    <t>NS, aromatic</t>
  </si>
  <si>
    <t>O, aliphatic</t>
  </si>
  <si>
    <t>OS, aliphatic</t>
  </si>
  <si>
    <t>O, aromatic</t>
  </si>
  <si>
    <t>NS, aliphatic</t>
  </si>
  <si>
    <t>NOS, aromatic</t>
  </si>
  <si>
    <t>OS, aromatic</t>
  </si>
  <si>
    <t>Molecular Weight (gr)</t>
  </si>
  <si>
    <t>NO, aliphatic</t>
  </si>
  <si>
    <t>pH before</t>
  </si>
  <si>
    <t>pH after</t>
  </si>
  <si>
    <t>$2-(2-hydroxyphenyl)-benzoxazole$</t>
  </si>
  <si>
    <t>$Quercetin$</t>
  </si>
  <si>
    <t>$Benzoin \: oxime$</t>
  </si>
  <si>
    <t>$Thiosalycylic \:  acid$</t>
  </si>
  <si>
    <t>$2-2'-dithiobenzoic \: acid$</t>
  </si>
  <si>
    <t>$4-mercaptobenzoic \: acid$</t>
  </si>
  <si>
    <t>$2-2-hydroxyphenyl \: benzothiazole$</t>
  </si>
  <si>
    <t>$Berberine \: chloride$</t>
  </si>
  <si>
    <t>delta pH</t>
  </si>
  <si>
    <t>Potassium sodium tartrate</t>
  </si>
  <si>
    <t>IP - std</t>
  </si>
  <si>
    <t>IE - mean</t>
  </si>
  <si>
    <t>IE - std</t>
  </si>
  <si>
    <t>Type</t>
  </si>
  <si>
    <t xml:space="preserve">Sodium dodecylsulfate </t>
  </si>
  <si>
    <t>2-mercaptobenzothiazole</t>
  </si>
  <si>
    <t>$2-mercaptobenzothiazole$</t>
  </si>
  <si>
    <t>pH avg</t>
  </si>
  <si>
    <t>Inhibitor Power - LPR30min</t>
  </si>
  <si>
    <t>Inhibitor Power - LPR1h</t>
  </si>
  <si>
    <t>Inhibitor Power - LPR2h</t>
  </si>
  <si>
    <t>Inhibitor Power - LPR3h</t>
  </si>
  <si>
    <t>Inhibitor Power - LPR6h</t>
  </si>
  <si>
    <t>Inhibitor Power - LPR12h</t>
  </si>
  <si>
    <t>Inhibitor Power - LPR18h</t>
  </si>
  <si>
    <t>deltaE - mean</t>
  </si>
  <si>
    <t>deltaE - std</t>
  </si>
  <si>
    <t>deltaE - ste</t>
  </si>
  <si>
    <t>Inhibitor Efficiency - EIS2h</t>
  </si>
  <si>
    <t>Ecorr - mean</t>
  </si>
  <si>
    <t>Ecorr - std</t>
  </si>
  <si>
    <t>2-amino-4-methylthiazole</t>
  </si>
  <si>
    <t>5-amino-1,3,4-thiadiazole-2-thiol</t>
  </si>
  <si>
    <t>Urea</t>
  </si>
  <si>
    <t>Sodium mercaptobenzothiazole</t>
  </si>
  <si>
    <t>2,5-dithiobiurea</t>
  </si>
  <si>
    <t>2492-26-4</t>
  </si>
  <si>
    <t>142-46-1</t>
  </si>
  <si>
    <t>57-13-6</t>
  </si>
  <si>
    <t>2349-67-9</t>
  </si>
  <si>
    <t>1603-91-4</t>
  </si>
  <si>
    <t>Uninhibited</t>
  </si>
  <si>
    <t>aromaticity</t>
  </si>
  <si>
    <t>Aromatic</t>
  </si>
  <si>
    <t>Aliphatic</t>
  </si>
  <si>
    <t>N</t>
  </si>
  <si>
    <t>NS</t>
  </si>
  <si>
    <t>NO</t>
  </si>
  <si>
    <t>O</t>
  </si>
  <si>
    <t>OS</t>
  </si>
  <si>
    <t>NOS</t>
  </si>
  <si>
    <t>Mol. Weight</t>
  </si>
  <si>
    <t>CAS Number</t>
  </si>
  <si>
    <t>Inh Power</t>
  </si>
  <si>
    <t>2-2-bipyridine</t>
  </si>
  <si>
    <t>14068-53-2</t>
  </si>
  <si>
    <t>Sodium thiosalicylate</t>
  </si>
  <si>
    <t>134-23-6 </t>
  </si>
  <si>
    <t>30555-21-6</t>
  </si>
  <si>
    <t>92823-43-3 </t>
  </si>
  <si>
    <t>Ammonium pyrrolidinedithiocarbamate</t>
  </si>
  <si>
    <t>Ampicillin trihydrate</t>
  </si>
  <si>
    <t>633-65-8</t>
  </si>
  <si>
    <t>Calcium D-gluconate monohydrate</t>
  </si>
  <si>
    <t>Sodium dodecyl sulfate</t>
  </si>
  <si>
    <t>Iron(II) gluconate hydrate</t>
  </si>
  <si>
    <t>Phthalic acid</t>
  </si>
  <si>
    <t>117-39-5</t>
  </si>
  <si>
    <t>127-09-3</t>
  </si>
  <si>
    <t>148-18-5</t>
  </si>
  <si>
    <t>36722-22-2</t>
  </si>
  <si>
    <t xml:space="preserve">Inhibitor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</si>
</sst>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Roboto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b/>
      <sz val="10"/>
      <color rgb="FF000000"/>
      <name val="Roboto"/>
      <charset val="1"/>
    </font>
    <font>
      <b/>
      <sz val="12"/>
      <color rgb="FF000000"/>
      <name val="Helvetica"/>
      <family val="2"/>
    </font>
    <font>
      <b/>
      <sz val="12"/>
      <color rgb="FF000000"/>
      <name val="Arial"/>
      <family val="2"/>
    </font>
    <font>
      <b/>
      <i/>
      <sz val="12"/>
      <color rgb="FF000000"/>
      <name val="Helvetica"/>
      <family val="2"/>
    </font>
    <font>
      <i/>
      <sz val="12"/>
      <color rgb="FF000000"/>
      <name val="Helvetica"/>
      <family val="2"/>
    </font>
    <font>
      <i/>
      <sz val="10"/>
      <color rgb="FF000000"/>
      <name val="Arial"/>
      <family val="2"/>
    </font>
    <font>
      <b/>
      <sz val="12"/>
      <color rgb="FF000000"/>
      <name val="Var(--jp-content-font-family)"/>
    </font>
    <font>
      <sz val="15"/>
      <color rgb="FF000000"/>
      <name val="STIXMathJax_Main"/>
    </font>
    <font>
      <sz val="15"/>
      <color rgb="FF000000"/>
      <name val="STIXMathJax_Normal-italic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Var(--jp-content-font-family)"/>
    </font>
    <font>
      <sz val="10"/>
      <color rgb="FF000000"/>
      <name val="Helvetica"/>
      <family val="2"/>
    </font>
    <font>
      <sz val="12"/>
      <color rgb="FF000000"/>
      <name val="Helvetica"/>
      <family val="2"/>
    </font>
    <font>
      <i/>
      <sz val="12"/>
      <color rgb="FFFF0000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1" fontId="2" fillId="0" borderId="0" xfId="0" applyNumberFormat="1" applyFont="1"/>
    <xf numFmtId="0" fontId="1" fillId="0" borderId="0" xfId="0" applyFont="1"/>
    <xf numFmtId="4" fontId="2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1" fontId="0" fillId="2" borderId="0" xfId="0" applyNumberFormat="1" applyFill="1"/>
    <xf numFmtId="0" fontId="4" fillId="0" borderId="0" xfId="0" applyFont="1"/>
    <xf numFmtId="11" fontId="0" fillId="0" borderId="0" xfId="0" applyNumberFormat="1"/>
    <xf numFmtId="0" fontId="5" fillId="0" borderId="0" xfId="0" applyFont="1"/>
    <xf numFmtId="2" fontId="2" fillId="0" borderId="0" xfId="0" applyNumberFormat="1" applyFont="1"/>
    <xf numFmtId="2" fontId="3" fillId="5" borderId="0" xfId="0" applyNumberFormat="1" applyFont="1" applyFill="1" applyAlignment="1">
      <alignment horizontal="center"/>
    </xf>
    <xf numFmtId="2" fontId="0" fillId="0" borderId="0" xfId="0" applyNumberFormat="1"/>
    <xf numFmtId="2" fontId="1" fillId="6" borderId="0" xfId="0" applyNumberFormat="1" applyFont="1" applyFill="1" applyAlignment="1">
      <alignment horizontal="center"/>
    </xf>
    <xf numFmtId="2" fontId="4" fillId="0" borderId="0" xfId="0" applyNumberFormat="1" applyFont="1"/>
    <xf numFmtId="11" fontId="5" fillId="0" borderId="0" xfId="0" applyNumberFormat="1" applyFont="1"/>
    <xf numFmtId="4" fontId="5" fillId="0" borderId="0" xfId="0" applyNumberFormat="1" applyFont="1"/>
    <xf numFmtId="2" fontId="3" fillId="7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1" fontId="4" fillId="0" borderId="0" xfId="0" applyNumberFormat="1" applyFont="1"/>
    <xf numFmtId="0" fontId="1" fillId="8" borderId="0" xfId="0" applyFont="1" applyFill="1" applyAlignment="1">
      <alignment vertical="center" wrapText="1"/>
    </xf>
    <xf numFmtId="11" fontId="1" fillId="0" borderId="0" xfId="0" applyNumberFormat="1" applyFont="1" applyAlignment="1">
      <alignment horizontal="center"/>
    </xf>
    <xf numFmtId="2" fontId="3" fillId="9" borderId="0" xfId="0" applyNumberFormat="1" applyFont="1" applyFill="1" applyAlignment="1">
      <alignment horizontal="center"/>
    </xf>
    <xf numFmtId="2" fontId="8" fillId="9" borderId="0" xfId="0" applyNumberFormat="1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11" fontId="17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center" wrapText="1"/>
    </xf>
    <xf numFmtId="0" fontId="6" fillId="0" borderId="0" xfId="0" applyFont="1"/>
    <xf numFmtId="2" fontId="17" fillId="0" borderId="0" xfId="0" applyNumberFormat="1" applyFont="1"/>
    <xf numFmtId="1" fontId="17" fillId="0" borderId="0" xfId="0" applyNumberFormat="1" applyFont="1"/>
    <xf numFmtId="1" fontId="2" fillId="0" borderId="0" xfId="0" applyNumberFormat="1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11" fontId="3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5" fillId="0" borderId="0" xfId="0" applyNumberFormat="1" applyFont="1"/>
    <xf numFmtId="1" fontId="1" fillId="0" borderId="0" xfId="0" applyNumberFormat="1" applyFont="1" applyAlignment="1">
      <alignment horizontal="center"/>
    </xf>
    <xf numFmtId="1" fontId="5" fillId="0" borderId="0" xfId="0" applyNumberFormat="1" applyFont="1"/>
    <xf numFmtId="1" fontId="0" fillId="0" borderId="0" xfId="0" applyNumberFormat="1"/>
    <xf numFmtId="0" fontId="21" fillId="0" borderId="0" xfId="0" applyFont="1"/>
    <xf numFmtId="0" fontId="22" fillId="0" borderId="0" xfId="0" applyFont="1"/>
    <xf numFmtId="2" fontId="1" fillId="0" borderId="0" xfId="0" applyNumberFormat="1" applyFont="1"/>
    <xf numFmtId="0" fontId="1" fillId="3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n Özkan" id="{38343343-25BC-534B-BB23-163F23EBAAB9}" userId="S::cozkan1@tudelft.nl::e494feb8-ea9b-4f3c-ab36-758bea74fe0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8" dT="2022-02-12T09:36:31.10" personId="{38343343-25BC-534B-BB23-163F23EBAAB9}" id="{23749E65-9AF0-2A45-8C04-50E223B14BB4}">
    <text>Not visible</text>
  </threadedComment>
  <threadedComment ref="N79" dT="2022-02-12T09:36:31.10" personId="{38343343-25BC-534B-BB23-163F23EBAAB9}" id="{55129F70-76EC-9547-9A2F-81BA71B65573}">
    <text>Not visible</text>
  </threadedComment>
  <threadedComment ref="N80" dT="2022-02-12T09:36:31.10" personId="{38343343-25BC-534B-BB23-163F23EBAAB9}" id="{E178ACD4-3188-4349-AABC-E01E623CF9A1}">
    <text>Not visible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18E6-D486-AE44-AD50-1FB19DB960DA}">
  <dimension ref="A1:V73"/>
  <sheetViews>
    <sheetView tabSelected="1" zoomScale="120" zoomScaleNormal="120" workbookViewId="0">
      <pane xSplit="1" topLeftCell="B1" activePane="topRight" state="frozen"/>
      <selection pane="topRight" activeCell="B11" sqref="B11"/>
    </sheetView>
  </sheetViews>
  <sheetFormatPr baseColWidth="10" defaultRowHeight="13"/>
  <cols>
    <col min="1" max="1" width="41.6640625" style="32" customWidth="1"/>
    <col min="2" max="2" width="26.5" style="32" customWidth="1"/>
    <col min="3" max="3" width="10.83203125" customWidth="1"/>
    <col min="4" max="4" width="7.6640625" bestFit="1" customWidth="1"/>
    <col min="7" max="7" width="14.1640625" bestFit="1" customWidth="1"/>
    <col min="8" max="8" width="11.5" style="10" bestFit="1" customWidth="1"/>
    <col min="9" max="9" width="11.33203125" style="10" customWidth="1"/>
    <col min="10" max="10" width="10.83203125" style="10"/>
    <col min="11" max="11" width="12" style="10" bestFit="1" customWidth="1"/>
    <col min="12" max="13" width="11" style="10" bestFit="1" customWidth="1"/>
    <col min="14" max="14" width="14.5" style="10" bestFit="1" customWidth="1"/>
    <col min="15" max="17" width="11" style="10" bestFit="1" customWidth="1"/>
    <col min="19" max="19" width="73.1640625" bestFit="1" customWidth="1"/>
    <col min="20" max="21" width="9.83203125" bestFit="1" customWidth="1"/>
    <col min="22" max="22" width="7" bestFit="1" customWidth="1"/>
  </cols>
  <sheetData>
    <row r="1" spans="1:19" s="29" customFormat="1" ht="16">
      <c r="A1" s="30" t="s">
        <v>263</v>
      </c>
      <c r="B1" s="30" t="s">
        <v>244</v>
      </c>
      <c r="C1" s="28" t="s">
        <v>245</v>
      </c>
      <c r="D1" s="28"/>
      <c r="E1" s="28"/>
      <c r="F1" s="28"/>
      <c r="G1" s="28"/>
      <c r="H1" s="28"/>
      <c r="I1" s="28"/>
      <c r="J1" s="28"/>
    </row>
    <row r="2" spans="1:19" ht="16">
      <c r="A2" s="31" t="s">
        <v>111</v>
      </c>
      <c r="B2" s="53" t="s">
        <v>43</v>
      </c>
      <c r="C2" s="45">
        <v>5.29</v>
      </c>
      <c r="D2" s="45"/>
      <c r="E2" s="45"/>
      <c r="F2" s="45"/>
      <c r="G2" s="44"/>
      <c r="H2" s="44"/>
      <c r="I2" s="44"/>
      <c r="L2" s="45"/>
      <c r="M2" s="45"/>
      <c r="P2" s="45"/>
      <c r="Q2" s="45"/>
      <c r="S2" s="28"/>
    </row>
    <row r="3" spans="1:19" ht="16">
      <c r="A3" s="31" t="s">
        <v>110</v>
      </c>
      <c r="B3" s="53" t="s">
        <v>44</v>
      </c>
      <c r="C3" s="45">
        <v>10.039999999999999</v>
      </c>
      <c r="D3" s="45"/>
      <c r="E3" s="45"/>
      <c r="F3" s="45"/>
      <c r="G3" s="44"/>
      <c r="H3" s="44"/>
      <c r="I3" s="44"/>
      <c r="L3" s="45"/>
      <c r="M3" s="45"/>
      <c r="P3" s="45"/>
      <c r="Q3" s="45"/>
      <c r="S3" s="28"/>
    </row>
    <row r="4" spans="1:19" ht="16">
      <c r="A4" s="31" t="s">
        <v>142</v>
      </c>
      <c r="B4" s="53" t="s">
        <v>81</v>
      </c>
      <c r="C4" s="45">
        <v>-0.51</v>
      </c>
      <c r="D4" s="45"/>
      <c r="E4" s="45"/>
      <c r="F4" s="45"/>
      <c r="G4" s="44"/>
      <c r="H4" s="44"/>
      <c r="I4" s="44"/>
      <c r="L4" s="45"/>
      <c r="M4" s="45"/>
      <c r="P4" s="45"/>
      <c r="Q4" s="45"/>
      <c r="S4" s="28"/>
    </row>
    <row r="5" spans="1:19" ht="16">
      <c r="A5" s="31" t="s">
        <v>129</v>
      </c>
      <c r="B5" s="53" t="s">
        <v>65</v>
      </c>
      <c r="C5" s="45">
        <v>2.09</v>
      </c>
      <c r="D5" s="45"/>
      <c r="E5" s="45"/>
      <c r="F5" s="45"/>
      <c r="G5" s="44"/>
      <c r="H5" s="44"/>
      <c r="I5" s="44"/>
      <c r="L5" s="45"/>
      <c r="M5" s="45"/>
      <c r="P5" s="45"/>
      <c r="Q5" s="45"/>
      <c r="S5" s="28"/>
    </row>
    <row r="6" spans="1:19" ht="16">
      <c r="A6" s="31" t="s">
        <v>121</v>
      </c>
      <c r="B6" s="53" t="s">
        <v>55</v>
      </c>
      <c r="C6" s="45">
        <v>3.54</v>
      </c>
      <c r="D6" s="45"/>
      <c r="E6" s="45"/>
      <c r="F6" s="45"/>
      <c r="G6" s="44"/>
      <c r="H6" s="44"/>
      <c r="I6" s="44"/>
      <c r="L6" s="45"/>
      <c r="M6" s="45"/>
      <c r="P6" s="45"/>
      <c r="Q6" s="45"/>
      <c r="S6" s="28"/>
    </row>
    <row r="7" spans="1:19" ht="16">
      <c r="A7" s="31" t="s">
        <v>144</v>
      </c>
      <c r="B7" s="53" t="s">
        <v>87</v>
      </c>
      <c r="C7" s="45">
        <v>9.77</v>
      </c>
      <c r="D7" s="45"/>
      <c r="E7" s="45"/>
      <c r="F7" s="45"/>
      <c r="G7" s="44"/>
      <c r="H7" s="44"/>
      <c r="I7" s="44"/>
      <c r="L7" s="45"/>
      <c r="M7" s="45"/>
      <c r="P7" s="45"/>
      <c r="Q7" s="45"/>
      <c r="S7" s="28"/>
    </row>
    <row r="8" spans="1:19" ht="16">
      <c r="A8" s="31" t="s">
        <v>148</v>
      </c>
      <c r="B8" s="53" t="s">
        <v>92</v>
      </c>
      <c r="C8" s="45">
        <v>-1.36</v>
      </c>
      <c r="D8" s="45"/>
      <c r="E8" s="45"/>
      <c r="F8" s="45"/>
      <c r="G8" s="44"/>
      <c r="H8" s="44"/>
      <c r="I8" s="44"/>
      <c r="L8" s="45"/>
      <c r="M8" s="45"/>
      <c r="P8" s="45"/>
      <c r="Q8" s="45"/>
      <c r="S8" s="28"/>
    </row>
    <row r="9" spans="1:19" ht="16">
      <c r="A9" s="31" t="s">
        <v>138</v>
      </c>
      <c r="B9" s="53" t="s">
        <v>76</v>
      </c>
      <c r="C9" s="45">
        <v>-1.43</v>
      </c>
      <c r="D9" s="45"/>
      <c r="E9" s="45"/>
      <c r="F9" s="45"/>
      <c r="G9" s="44"/>
      <c r="H9" s="44"/>
      <c r="I9" s="44"/>
      <c r="L9" s="45"/>
      <c r="M9" s="45"/>
      <c r="P9" s="45"/>
      <c r="Q9" s="45"/>
      <c r="S9" s="28"/>
    </row>
    <row r="10" spans="1:19" ht="16">
      <c r="A10" s="31" t="s">
        <v>246</v>
      </c>
      <c r="B10" s="53" t="s">
        <v>41</v>
      </c>
      <c r="C10" s="45">
        <v>3.48</v>
      </c>
      <c r="D10" s="45"/>
      <c r="E10" s="45"/>
      <c r="F10" s="45"/>
      <c r="G10" s="44"/>
      <c r="H10" s="44"/>
      <c r="I10" s="44"/>
      <c r="L10" s="45"/>
      <c r="M10" s="45"/>
      <c r="P10" s="45"/>
      <c r="Q10" s="45"/>
      <c r="S10" s="28"/>
    </row>
    <row r="11" spans="1:19" ht="16">
      <c r="A11" s="31" t="s">
        <v>127</v>
      </c>
      <c r="B11" s="53" t="s">
        <v>62</v>
      </c>
      <c r="C11" s="45">
        <v>-0.64</v>
      </c>
      <c r="D11" s="45"/>
      <c r="E11" s="45"/>
      <c r="F11" s="45"/>
      <c r="G11" s="44"/>
      <c r="H11" s="44"/>
      <c r="I11" s="44"/>
      <c r="L11" s="45"/>
      <c r="M11" s="45"/>
      <c r="P11" s="45"/>
      <c r="Q11" s="45"/>
      <c r="S11" s="28"/>
    </row>
    <row r="12" spans="1:19" ht="16">
      <c r="A12" s="31" t="s">
        <v>118</v>
      </c>
      <c r="B12" s="53" t="s">
        <v>52</v>
      </c>
      <c r="C12" s="45">
        <v>2.0299999999999998</v>
      </c>
      <c r="D12" s="45"/>
      <c r="E12" s="45"/>
      <c r="F12" s="45"/>
      <c r="G12" s="44"/>
      <c r="H12" s="44"/>
      <c r="I12" s="44"/>
      <c r="L12" s="45"/>
      <c r="M12" s="45"/>
      <c r="P12" s="45"/>
      <c r="Q12" s="45"/>
      <c r="S12" s="28"/>
    </row>
    <row r="13" spans="1:19" ht="16">
      <c r="A13" s="31" t="s">
        <v>146</v>
      </c>
      <c r="B13" s="53" t="s">
        <v>247</v>
      </c>
      <c r="C13" s="45">
        <v>2.35</v>
      </c>
      <c r="D13" s="45"/>
      <c r="E13" s="45"/>
      <c r="F13" s="45"/>
      <c r="G13" s="44"/>
      <c r="H13" s="44"/>
      <c r="I13" s="44"/>
      <c r="L13" s="45"/>
      <c r="M13" s="45"/>
      <c r="P13" s="45"/>
      <c r="Q13" s="45"/>
      <c r="S13" s="28"/>
    </row>
    <row r="14" spans="1:19" ht="16">
      <c r="A14" s="31" t="s">
        <v>106</v>
      </c>
      <c r="B14" s="53" t="s">
        <v>39</v>
      </c>
      <c r="C14" s="45">
        <v>7.04</v>
      </c>
      <c r="D14" s="45"/>
      <c r="E14" s="45"/>
      <c r="F14" s="45"/>
      <c r="G14" s="44"/>
      <c r="H14" s="44"/>
      <c r="I14" s="44"/>
      <c r="L14" s="45"/>
      <c r="M14" s="45"/>
      <c r="P14" s="45"/>
      <c r="Q14" s="45"/>
      <c r="S14" s="28"/>
    </row>
    <row r="15" spans="1:19" ht="16">
      <c r="A15" s="31" t="s">
        <v>96</v>
      </c>
      <c r="B15" s="53" t="s">
        <v>26</v>
      </c>
      <c r="C15" s="45">
        <v>12.16</v>
      </c>
      <c r="D15" s="45"/>
      <c r="E15" s="45"/>
      <c r="F15" s="45"/>
      <c r="G15" s="44"/>
      <c r="H15" s="44"/>
      <c r="I15" s="44"/>
      <c r="L15" s="45"/>
      <c r="M15" s="45"/>
      <c r="P15" s="45"/>
      <c r="Q15" s="45"/>
      <c r="S15" s="28"/>
    </row>
    <row r="16" spans="1:19" ht="16">
      <c r="A16" s="31" t="s">
        <v>248</v>
      </c>
      <c r="B16" s="53" t="s">
        <v>249</v>
      </c>
      <c r="C16" s="45">
        <v>10.76</v>
      </c>
      <c r="D16" s="45"/>
      <c r="E16" s="45"/>
      <c r="F16" s="45"/>
      <c r="G16" s="44"/>
      <c r="H16" s="44"/>
      <c r="I16" s="44"/>
      <c r="L16" s="45"/>
      <c r="M16" s="45"/>
      <c r="P16" s="45"/>
      <c r="Q16" s="45"/>
      <c r="S16" s="28"/>
    </row>
    <row r="17" spans="1:19" ht="16">
      <c r="A17" s="31" t="s">
        <v>107</v>
      </c>
      <c r="B17" s="53" t="s">
        <v>40</v>
      </c>
      <c r="C17" s="45">
        <v>13.18</v>
      </c>
      <c r="D17" s="45"/>
      <c r="E17" s="45"/>
      <c r="F17" s="45"/>
      <c r="G17" s="44"/>
      <c r="H17" s="44"/>
      <c r="I17" s="44"/>
      <c r="L17" s="45"/>
      <c r="M17" s="45"/>
      <c r="P17" s="45"/>
      <c r="Q17" s="45"/>
      <c r="S17" s="28"/>
    </row>
    <row r="18" spans="1:19" ht="19">
      <c r="A18" s="31" t="s">
        <v>124</v>
      </c>
      <c r="B18" s="53" t="s">
        <v>59</v>
      </c>
      <c r="C18" s="45">
        <v>13.64</v>
      </c>
      <c r="D18" s="45"/>
      <c r="E18" s="45"/>
      <c r="F18" s="45"/>
      <c r="G18" s="44"/>
      <c r="H18" s="44"/>
      <c r="I18" s="44"/>
      <c r="L18" s="45"/>
      <c r="M18" s="45"/>
      <c r="P18" s="45"/>
      <c r="Q18" s="45"/>
      <c r="S18" s="34"/>
    </row>
    <row r="19" spans="1:19" ht="19">
      <c r="A19" s="31" t="s">
        <v>102</v>
      </c>
      <c r="B19" s="53" t="s">
        <v>34</v>
      </c>
      <c r="C19" s="45">
        <v>-1.4</v>
      </c>
      <c r="D19" s="45"/>
      <c r="E19" s="45"/>
      <c r="F19" s="45"/>
      <c r="G19" s="44"/>
      <c r="H19" s="44"/>
      <c r="I19" s="44"/>
      <c r="L19" s="45"/>
      <c r="M19" s="45"/>
      <c r="P19" s="45"/>
      <c r="Q19" s="45"/>
      <c r="S19" s="34"/>
    </row>
    <row r="20" spans="1:19" ht="19">
      <c r="A20" s="31" t="s">
        <v>94</v>
      </c>
      <c r="B20" s="53" t="s">
        <v>250</v>
      </c>
      <c r="C20" s="45">
        <v>1.49</v>
      </c>
      <c r="D20" s="45"/>
      <c r="E20" s="45"/>
      <c r="F20" s="45"/>
      <c r="G20" s="45"/>
      <c r="H20" s="45"/>
      <c r="I20" s="44"/>
      <c r="L20" s="45"/>
      <c r="M20" s="45"/>
      <c r="P20" s="45"/>
      <c r="Q20" s="45"/>
      <c r="S20" s="34"/>
    </row>
    <row r="21" spans="1:19" ht="19">
      <c r="A21" s="31" t="s">
        <v>103</v>
      </c>
      <c r="B21" s="53" t="s">
        <v>35</v>
      </c>
      <c r="C21" s="45">
        <v>2.16</v>
      </c>
      <c r="D21" s="45"/>
      <c r="E21" s="45"/>
      <c r="F21" s="45"/>
      <c r="G21" s="44"/>
      <c r="H21" s="44"/>
      <c r="I21" s="44"/>
      <c r="L21" s="45"/>
      <c r="M21" s="45"/>
      <c r="P21" s="45"/>
      <c r="Q21" s="45"/>
      <c r="S21" s="34"/>
    </row>
    <row r="22" spans="1:19" ht="16">
      <c r="A22" s="31" t="s">
        <v>149</v>
      </c>
      <c r="B22" s="53" t="s">
        <v>38</v>
      </c>
      <c r="C22" s="45">
        <v>-2.68</v>
      </c>
      <c r="D22" s="45"/>
      <c r="E22" s="45"/>
      <c r="F22" s="45"/>
      <c r="G22" s="44"/>
      <c r="H22" s="44"/>
      <c r="I22" s="44"/>
      <c r="L22" s="45"/>
      <c r="M22" s="45"/>
      <c r="P22" s="45"/>
      <c r="Q22" s="45"/>
      <c r="S22" s="28"/>
    </row>
    <row r="23" spans="1:19" ht="16">
      <c r="A23" s="31" t="s">
        <v>104</v>
      </c>
      <c r="B23" s="53" t="s">
        <v>36</v>
      </c>
      <c r="C23" s="45">
        <v>12.7</v>
      </c>
      <c r="D23" s="45"/>
      <c r="E23" s="45"/>
      <c r="F23" s="45"/>
      <c r="G23" s="44"/>
      <c r="H23" s="44"/>
      <c r="I23" s="44"/>
      <c r="L23" s="45"/>
      <c r="M23" s="45"/>
      <c r="P23" s="45"/>
      <c r="Q23" s="45"/>
      <c r="S23" s="28"/>
    </row>
    <row r="24" spans="1:19" ht="16">
      <c r="A24" s="31" t="s">
        <v>140</v>
      </c>
      <c r="B24" s="53" t="s">
        <v>79</v>
      </c>
      <c r="C24" s="45">
        <v>0.72</v>
      </c>
      <c r="D24" s="45"/>
      <c r="E24" s="45"/>
      <c r="F24" s="45"/>
      <c r="G24" s="44"/>
      <c r="H24" s="44"/>
      <c r="I24" s="44"/>
      <c r="L24" s="45"/>
      <c r="M24" s="45"/>
      <c r="P24" s="45"/>
      <c r="Q24" s="45"/>
      <c r="S24" s="28"/>
    </row>
    <row r="25" spans="1:19" ht="16">
      <c r="A25" s="31" t="s">
        <v>98</v>
      </c>
      <c r="B25" s="53" t="s">
        <v>30</v>
      </c>
      <c r="C25" s="45">
        <v>1.28</v>
      </c>
      <c r="D25" s="45"/>
      <c r="E25" s="45"/>
      <c r="F25" s="45"/>
      <c r="G25" s="44"/>
      <c r="H25" s="44"/>
      <c r="I25" s="44"/>
      <c r="L25" s="45"/>
      <c r="M25" s="45"/>
      <c r="P25" s="45"/>
      <c r="Q25" s="45"/>
      <c r="S25" s="28"/>
    </row>
    <row r="26" spans="1:19" ht="16">
      <c r="A26" s="31" t="s">
        <v>120</v>
      </c>
      <c r="B26" s="53" t="s">
        <v>54</v>
      </c>
      <c r="C26" s="45">
        <v>14.65</v>
      </c>
      <c r="D26" s="45"/>
      <c r="E26" s="45"/>
      <c r="F26" s="45"/>
      <c r="G26" s="44"/>
      <c r="H26" s="44"/>
      <c r="I26" s="44"/>
      <c r="L26" s="45"/>
      <c r="M26" s="45"/>
      <c r="P26" s="45"/>
      <c r="Q26" s="45"/>
      <c r="S26" s="28"/>
    </row>
    <row r="27" spans="1:19" ht="19">
      <c r="A27" s="31" t="s">
        <v>133</v>
      </c>
      <c r="B27" s="53" t="s">
        <v>251</v>
      </c>
      <c r="C27" s="45">
        <v>3.1</v>
      </c>
      <c r="D27" s="45"/>
      <c r="E27" s="45"/>
      <c r="F27" s="45"/>
      <c r="G27" s="44"/>
      <c r="H27" s="44"/>
      <c r="I27" s="44"/>
      <c r="L27" s="45"/>
      <c r="M27" s="45"/>
      <c r="P27" s="45"/>
      <c r="Q27" s="45"/>
      <c r="S27" s="34"/>
    </row>
    <row r="28" spans="1:19" ht="16">
      <c r="A28" s="31" t="s">
        <v>112</v>
      </c>
      <c r="B28" s="53" t="s">
        <v>45</v>
      </c>
      <c r="C28" s="45">
        <v>3.47</v>
      </c>
      <c r="D28" s="45"/>
      <c r="E28" s="45"/>
      <c r="F28" s="45"/>
      <c r="G28" s="44"/>
      <c r="H28" s="44"/>
      <c r="I28" s="44"/>
      <c r="L28" s="45"/>
      <c r="M28" s="45"/>
      <c r="P28" s="45"/>
      <c r="Q28" s="45"/>
      <c r="S28" s="28"/>
    </row>
    <row r="29" spans="1:19" ht="16">
      <c r="A29" s="31" t="s">
        <v>109</v>
      </c>
      <c r="B29" s="53" t="s">
        <v>42</v>
      </c>
      <c r="C29" s="45">
        <v>8.85</v>
      </c>
      <c r="D29" s="45"/>
      <c r="E29" s="45"/>
      <c r="F29" s="45"/>
      <c r="G29" s="44"/>
      <c r="H29" s="44"/>
      <c r="I29" s="44"/>
      <c r="L29" s="45"/>
      <c r="M29" s="45"/>
      <c r="P29" s="45"/>
      <c r="Q29" s="45"/>
      <c r="S29" s="28"/>
    </row>
    <row r="30" spans="1:19" ht="16">
      <c r="A30" s="31" t="s">
        <v>252</v>
      </c>
      <c r="B30" s="53" t="s">
        <v>78</v>
      </c>
      <c r="C30" s="45">
        <v>14.88</v>
      </c>
      <c r="D30" s="45"/>
      <c r="E30" s="45"/>
      <c r="F30" s="45"/>
      <c r="G30" s="44"/>
      <c r="H30" s="44"/>
      <c r="I30" s="44"/>
      <c r="L30" s="45"/>
      <c r="M30" s="45"/>
      <c r="P30" s="45"/>
      <c r="Q30" s="45"/>
      <c r="S30" s="28"/>
    </row>
    <row r="31" spans="1:19" ht="16">
      <c r="A31" s="31" t="s">
        <v>253</v>
      </c>
      <c r="B31" s="53" t="s">
        <v>57</v>
      </c>
      <c r="C31" s="45">
        <v>8.1199999999999992</v>
      </c>
      <c r="D31" s="45"/>
      <c r="E31" s="45"/>
      <c r="F31" s="45"/>
      <c r="G31" s="44"/>
      <c r="H31" s="44"/>
      <c r="I31" s="44"/>
      <c r="L31" s="45"/>
      <c r="M31" s="45"/>
      <c r="P31" s="45"/>
      <c r="Q31" s="45"/>
      <c r="S31" s="28"/>
    </row>
    <row r="32" spans="1:19" ht="16">
      <c r="A32" s="31" t="s">
        <v>122</v>
      </c>
      <c r="B32" s="53" t="s">
        <v>56</v>
      </c>
      <c r="C32" s="45">
        <v>-1.04</v>
      </c>
      <c r="D32" s="45"/>
      <c r="E32" s="45"/>
      <c r="F32" s="45"/>
      <c r="G32" s="44"/>
      <c r="H32" s="44"/>
      <c r="I32" s="44"/>
      <c r="L32" s="45"/>
      <c r="M32" s="45"/>
      <c r="P32" s="45"/>
      <c r="Q32" s="45"/>
      <c r="S32" s="28"/>
    </row>
    <row r="33" spans="1:19" ht="16">
      <c r="A33" s="31" t="s">
        <v>159</v>
      </c>
      <c r="B33" s="53" t="s">
        <v>48</v>
      </c>
      <c r="C33" s="45">
        <v>2.4700000000000002</v>
      </c>
      <c r="D33" s="45"/>
      <c r="E33" s="45"/>
      <c r="F33" s="45"/>
      <c r="G33" s="44"/>
      <c r="H33" s="44"/>
      <c r="I33" s="44"/>
      <c r="L33" s="45"/>
      <c r="M33" s="45"/>
      <c r="P33" s="45"/>
      <c r="Q33" s="45"/>
      <c r="S33" s="28"/>
    </row>
    <row r="34" spans="1:19" ht="16">
      <c r="A34" s="54" t="s">
        <v>93</v>
      </c>
      <c r="B34" s="53" t="s">
        <v>23</v>
      </c>
      <c r="C34" s="45">
        <v>8.34</v>
      </c>
      <c r="D34" s="45"/>
      <c r="E34" s="45"/>
      <c r="F34" s="45"/>
      <c r="G34" s="44"/>
      <c r="H34" s="44"/>
      <c r="I34" s="44"/>
      <c r="L34" s="45"/>
      <c r="M34" s="45"/>
      <c r="P34" s="45"/>
      <c r="Q34" s="45"/>
      <c r="S34" s="28"/>
    </row>
    <row r="35" spans="1:19" ht="16">
      <c r="A35" s="31" t="s">
        <v>135</v>
      </c>
      <c r="B35" s="53" t="s">
        <v>254</v>
      </c>
      <c r="C35" s="45">
        <v>0.61</v>
      </c>
      <c r="D35" s="45"/>
      <c r="E35" s="45"/>
      <c r="F35" s="45"/>
      <c r="G35" s="44"/>
      <c r="H35" s="44"/>
      <c r="I35" s="44"/>
      <c r="L35" s="45"/>
      <c r="M35" s="45"/>
      <c r="P35" s="45"/>
      <c r="Q35" s="45"/>
      <c r="S35" s="28"/>
    </row>
    <row r="36" spans="1:19" ht="19">
      <c r="A36" s="31" t="s">
        <v>141</v>
      </c>
      <c r="B36" s="53" t="s">
        <v>80</v>
      </c>
      <c r="C36" s="45">
        <v>0.84</v>
      </c>
      <c r="D36" s="45"/>
      <c r="E36" s="45"/>
      <c r="F36" s="45"/>
      <c r="G36" s="44"/>
      <c r="H36" s="44"/>
      <c r="I36" s="44"/>
      <c r="L36" s="45"/>
      <c r="M36" s="45"/>
      <c r="P36" s="45"/>
      <c r="Q36" s="45"/>
      <c r="S36" s="35"/>
    </row>
    <row r="37" spans="1:19" ht="16">
      <c r="A37" s="31" t="s">
        <v>99</v>
      </c>
      <c r="B37" s="53" t="s">
        <v>31</v>
      </c>
      <c r="C37" s="45">
        <v>-0.66</v>
      </c>
      <c r="D37" s="45"/>
      <c r="E37" s="45"/>
      <c r="F37" s="45"/>
      <c r="G37" s="44"/>
      <c r="H37" s="44"/>
      <c r="I37" s="44"/>
      <c r="L37" s="45"/>
      <c r="M37" s="45"/>
      <c r="P37" s="45"/>
      <c r="Q37" s="45"/>
      <c r="S37" s="28"/>
    </row>
    <row r="38" spans="1:19" ht="19">
      <c r="A38" s="54" t="s">
        <v>255</v>
      </c>
      <c r="B38" s="53" t="s">
        <v>88</v>
      </c>
      <c r="C38" s="45">
        <v>-1.96</v>
      </c>
      <c r="D38" s="45"/>
      <c r="E38" s="45"/>
      <c r="F38" s="45"/>
      <c r="G38" s="44"/>
      <c r="H38" s="44"/>
      <c r="I38" s="44"/>
      <c r="L38" s="45"/>
      <c r="M38" s="45"/>
      <c r="P38" s="45"/>
      <c r="Q38" s="45"/>
      <c r="S38" s="35"/>
    </row>
    <row r="39" spans="1:19" ht="16">
      <c r="A39" s="31" t="s">
        <v>115</v>
      </c>
      <c r="B39" s="53" t="s">
        <v>49</v>
      </c>
      <c r="C39" s="45">
        <v>11.12</v>
      </c>
      <c r="D39" s="45"/>
      <c r="E39" s="45"/>
      <c r="F39" s="45"/>
      <c r="G39" s="44"/>
      <c r="H39" s="44"/>
      <c r="I39" s="44"/>
      <c r="L39" s="45"/>
      <c r="M39" s="45"/>
      <c r="P39" s="45"/>
      <c r="Q39" s="45"/>
      <c r="S39" s="28"/>
    </row>
    <row r="40" spans="1:19" ht="16">
      <c r="A40" s="54" t="s">
        <v>256</v>
      </c>
      <c r="B40" s="53" t="s">
        <v>86</v>
      </c>
      <c r="C40" s="45">
        <v>1.24</v>
      </c>
      <c r="D40" s="45"/>
      <c r="E40" s="45"/>
      <c r="F40" s="45"/>
      <c r="G40" s="44"/>
      <c r="H40" s="44"/>
      <c r="I40" s="44"/>
      <c r="L40" s="45"/>
      <c r="M40" s="45"/>
      <c r="P40" s="45"/>
      <c r="Q40" s="45"/>
      <c r="S40" s="28"/>
    </row>
    <row r="41" spans="1:19" ht="16">
      <c r="A41" s="31" t="s">
        <v>137</v>
      </c>
      <c r="B41" s="53" t="s">
        <v>75</v>
      </c>
      <c r="C41" s="45">
        <v>4.05</v>
      </c>
      <c r="D41" s="45"/>
      <c r="E41" s="45"/>
      <c r="F41" s="45"/>
      <c r="G41" s="44"/>
      <c r="H41" s="44"/>
      <c r="I41" s="44"/>
      <c r="L41" s="45"/>
      <c r="M41" s="45"/>
      <c r="P41" s="45"/>
      <c r="Q41" s="45"/>
      <c r="S41" s="28"/>
    </row>
    <row r="42" spans="1:19" ht="16">
      <c r="A42" s="31" t="s">
        <v>136</v>
      </c>
      <c r="B42" s="53" t="s">
        <v>74</v>
      </c>
      <c r="C42" s="45">
        <v>0.41</v>
      </c>
      <c r="D42" s="45"/>
      <c r="E42" s="45"/>
      <c r="F42" s="45"/>
      <c r="G42" s="44"/>
      <c r="H42" s="44"/>
      <c r="I42" s="44"/>
      <c r="L42" s="45"/>
      <c r="M42" s="45"/>
      <c r="P42" s="45"/>
      <c r="Q42" s="45"/>
      <c r="S42" s="28"/>
    </row>
    <row r="43" spans="1:19" ht="16">
      <c r="A43" s="31" t="s">
        <v>147</v>
      </c>
      <c r="B43" s="53" t="s">
        <v>91</v>
      </c>
      <c r="C43" s="45">
        <v>-1.1599999999999999</v>
      </c>
      <c r="D43" s="45"/>
      <c r="E43" s="45"/>
      <c r="F43" s="45"/>
      <c r="G43" s="44"/>
      <c r="H43" s="44"/>
      <c r="I43" s="44"/>
      <c r="L43" s="45"/>
      <c r="M43" s="45"/>
      <c r="P43" s="45"/>
      <c r="Q43" s="45"/>
      <c r="S43" s="28"/>
    </row>
    <row r="44" spans="1:19" ht="16">
      <c r="A44" s="54" t="s">
        <v>257</v>
      </c>
      <c r="B44" s="53" t="s">
        <v>85</v>
      </c>
      <c r="C44" s="45">
        <v>-0.3</v>
      </c>
      <c r="D44" s="45"/>
      <c r="E44" s="45"/>
      <c r="F44" s="45"/>
      <c r="G44" s="44"/>
      <c r="H44" s="44"/>
      <c r="I44" s="44"/>
      <c r="L44" s="45"/>
      <c r="M44" s="45"/>
      <c r="P44" s="45"/>
      <c r="Q44" s="45"/>
      <c r="S44" s="28"/>
    </row>
    <row r="45" spans="1:19" ht="16">
      <c r="A45" s="31" t="s">
        <v>128</v>
      </c>
      <c r="B45" s="53" t="s">
        <v>63</v>
      </c>
      <c r="C45" s="45">
        <v>-3.41</v>
      </c>
      <c r="D45" s="45"/>
      <c r="E45" s="45"/>
      <c r="F45" s="45"/>
      <c r="G45" s="44"/>
      <c r="H45" s="44"/>
      <c r="I45" s="44"/>
      <c r="L45" s="45"/>
      <c r="M45" s="45"/>
      <c r="P45" s="45"/>
      <c r="Q45" s="45"/>
      <c r="S45" s="28"/>
    </row>
    <row r="46" spans="1:19" ht="16">
      <c r="A46" s="31" t="s">
        <v>126</v>
      </c>
      <c r="B46" s="53" t="s">
        <v>61</v>
      </c>
      <c r="C46" s="45">
        <v>-1.44</v>
      </c>
      <c r="D46" s="45"/>
      <c r="E46" s="45"/>
      <c r="F46" s="45"/>
      <c r="G46" s="44"/>
      <c r="H46" s="44"/>
      <c r="I46" s="44"/>
      <c r="L46" s="45"/>
      <c r="M46" s="45"/>
      <c r="P46" s="45"/>
      <c r="Q46" s="45"/>
      <c r="S46" s="28"/>
    </row>
    <row r="47" spans="1:19" ht="16">
      <c r="A47" s="31" t="s">
        <v>207</v>
      </c>
      <c r="B47" s="53" t="s">
        <v>84</v>
      </c>
      <c r="C47" s="45">
        <v>13.75</v>
      </c>
      <c r="D47" s="45"/>
      <c r="E47" s="45"/>
      <c r="F47" s="45"/>
      <c r="G47" s="44"/>
      <c r="H47" s="44"/>
      <c r="I47" s="44"/>
      <c r="L47" s="45"/>
      <c r="M47" s="45"/>
      <c r="P47" s="45"/>
      <c r="Q47" s="45"/>
      <c r="S47" s="28"/>
    </row>
    <row r="48" spans="1:19" ht="16">
      <c r="A48" s="31" t="s">
        <v>125</v>
      </c>
      <c r="B48" s="53" t="s">
        <v>60</v>
      </c>
      <c r="C48" s="45">
        <v>-3.2</v>
      </c>
      <c r="D48" s="45"/>
      <c r="E48" s="45"/>
      <c r="F48" s="45"/>
      <c r="G48" s="45"/>
      <c r="H48" s="45"/>
      <c r="I48" s="44"/>
      <c r="L48" s="45"/>
      <c r="M48" s="45"/>
      <c r="P48" s="45"/>
      <c r="Q48" s="45"/>
      <c r="S48" s="28"/>
    </row>
    <row r="49" spans="1:19" ht="16">
      <c r="A49" s="31" t="s">
        <v>105</v>
      </c>
      <c r="B49" s="53" t="s">
        <v>37</v>
      </c>
      <c r="C49" s="45">
        <v>-5.32</v>
      </c>
      <c r="D49" s="45"/>
      <c r="E49" s="45"/>
      <c r="F49" s="45"/>
      <c r="G49" s="44"/>
      <c r="H49" s="44"/>
      <c r="I49" s="44"/>
      <c r="L49" s="45"/>
      <c r="M49" s="45"/>
      <c r="P49" s="45"/>
      <c r="Q49" s="45"/>
      <c r="S49" s="28"/>
    </row>
    <row r="50" spans="1:19" ht="16">
      <c r="A50" s="31" t="s">
        <v>258</v>
      </c>
      <c r="B50" s="53" t="s">
        <v>67</v>
      </c>
      <c r="C50" s="45">
        <v>-3.14</v>
      </c>
      <c r="D50" s="45"/>
      <c r="E50" s="45"/>
      <c r="F50" s="45"/>
      <c r="G50" s="44"/>
      <c r="H50" s="44"/>
      <c r="I50" s="44"/>
      <c r="L50" s="45"/>
      <c r="M50" s="45"/>
      <c r="P50" s="45"/>
      <c r="Q50" s="45"/>
      <c r="S50" s="28"/>
    </row>
    <row r="51" spans="1:19" ht="16">
      <c r="A51" s="31" t="s">
        <v>201</v>
      </c>
      <c r="B51" s="53" t="s">
        <v>64</v>
      </c>
      <c r="C51" s="45">
        <v>-4.04</v>
      </c>
      <c r="D51" s="45"/>
      <c r="E51" s="45"/>
      <c r="F51" s="45"/>
      <c r="G51" s="44"/>
      <c r="H51" s="44"/>
      <c r="I51" s="44"/>
      <c r="L51" s="45"/>
      <c r="M51" s="45"/>
      <c r="P51" s="45"/>
      <c r="Q51" s="45"/>
      <c r="S51" s="28"/>
    </row>
    <row r="52" spans="1:19" ht="16">
      <c r="A52" s="31" t="s">
        <v>134</v>
      </c>
      <c r="B52" s="53" t="s">
        <v>259</v>
      </c>
      <c r="C52" s="45">
        <v>-1.29</v>
      </c>
      <c r="D52" s="45"/>
      <c r="E52" s="45"/>
      <c r="F52" s="45"/>
      <c r="G52" s="44"/>
      <c r="H52" s="44"/>
      <c r="I52" s="44"/>
      <c r="L52" s="45"/>
      <c r="M52" s="45"/>
      <c r="P52" s="45"/>
      <c r="Q52" s="45"/>
      <c r="S52" s="28"/>
    </row>
    <row r="53" spans="1:19" ht="19">
      <c r="A53" s="31" t="s">
        <v>119</v>
      </c>
      <c r="B53" s="53" t="s">
        <v>53</v>
      </c>
      <c r="C53" s="45">
        <v>0.62</v>
      </c>
      <c r="D53" s="45"/>
      <c r="E53" s="45"/>
      <c r="F53" s="45"/>
      <c r="G53" s="44"/>
      <c r="H53" s="44"/>
      <c r="I53" s="44"/>
      <c r="L53" s="45"/>
      <c r="M53" s="45"/>
      <c r="P53" s="45"/>
      <c r="Q53" s="45"/>
      <c r="S53" s="35"/>
    </row>
    <row r="54" spans="1:19" ht="16">
      <c r="A54" s="31" t="s">
        <v>123</v>
      </c>
      <c r="B54" s="53" t="s">
        <v>58</v>
      </c>
      <c r="C54" s="45">
        <v>-7.0000000000000007E-2</v>
      </c>
      <c r="D54" s="45"/>
      <c r="E54" s="45"/>
      <c r="F54" s="45"/>
      <c r="G54" s="44"/>
      <c r="H54" s="44"/>
      <c r="I54" s="44"/>
      <c r="L54" s="45"/>
      <c r="M54" s="45"/>
      <c r="P54" s="45"/>
      <c r="Q54" s="45"/>
      <c r="S54" s="28"/>
    </row>
    <row r="55" spans="1:19" ht="16">
      <c r="A55" s="31" t="s">
        <v>97</v>
      </c>
      <c r="B55" s="53" t="s">
        <v>29</v>
      </c>
      <c r="C55" s="45">
        <v>-4.3600000000000003</v>
      </c>
      <c r="D55" s="45"/>
      <c r="E55" s="45"/>
      <c r="F55" s="45"/>
      <c r="G55" s="44"/>
      <c r="H55" s="44"/>
      <c r="I55" s="44"/>
      <c r="L55" s="45"/>
      <c r="M55" s="45"/>
      <c r="P55" s="45"/>
      <c r="Q55" s="45"/>
      <c r="S55" s="28"/>
    </row>
    <row r="56" spans="1:19" ht="16">
      <c r="A56" s="31" t="s">
        <v>156</v>
      </c>
      <c r="B56" s="53" t="s">
        <v>260</v>
      </c>
      <c r="C56" s="45">
        <v>1.34</v>
      </c>
      <c r="D56" s="45"/>
      <c r="E56" s="45"/>
      <c r="F56" s="45"/>
      <c r="G56" s="44"/>
      <c r="H56" s="44"/>
      <c r="I56" s="44"/>
      <c r="L56" s="45"/>
      <c r="M56" s="45"/>
      <c r="P56" s="45"/>
      <c r="Q56" s="45"/>
      <c r="S56" s="28"/>
    </row>
    <row r="57" spans="1:19" ht="16">
      <c r="A57" s="31" t="s">
        <v>162</v>
      </c>
      <c r="B57" s="53" t="s">
        <v>72</v>
      </c>
      <c r="C57" s="45">
        <v>-1.17</v>
      </c>
      <c r="D57" s="45"/>
      <c r="E57" s="45"/>
      <c r="F57" s="45"/>
      <c r="G57" s="44"/>
      <c r="H57" s="44"/>
      <c r="I57" s="44"/>
      <c r="L57" s="45"/>
      <c r="M57" s="45"/>
      <c r="P57" s="45"/>
      <c r="Q57" s="45"/>
      <c r="S57" s="28"/>
    </row>
    <row r="58" spans="1:19" ht="16">
      <c r="A58" s="31" t="s">
        <v>158</v>
      </c>
      <c r="B58" s="53" t="s">
        <v>261</v>
      </c>
      <c r="C58" s="45">
        <v>12.41</v>
      </c>
      <c r="D58" s="45"/>
      <c r="E58" s="45"/>
      <c r="F58" s="45"/>
      <c r="G58" s="44"/>
      <c r="H58" s="44"/>
      <c r="I58" s="44"/>
      <c r="L58" s="45"/>
      <c r="M58" s="45"/>
      <c r="P58" s="45"/>
      <c r="Q58" s="45"/>
      <c r="S58" s="28"/>
    </row>
    <row r="59" spans="1:19" ht="16">
      <c r="A59" s="31" t="s">
        <v>161</v>
      </c>
      <c r="B59" s="53" t="s">
        <v>68</v>
      </c>
      <c r="C59" s="45">
        <v>-1.21</v>
      </c>
      <c r="D59" s="45"/>
      <c r="E59" s="45"/>
      <c r="F59" s="45"/>
      <c r="G59" s="44"/>
      <c r="H59" s="44"/>
      <c r="I59" s="44"/>
      <c r="L59" s="45"/>
      <c r="M59" s="45"/>
      <c r="P59" s="45"/>
      <c r="Q59" s="45"/>
      <c r="S59" s="28"/>
    </row>
    <row r="60" spans="1:19" ht="16">
      <c r="A60" s="31" t="s">
        <v>163</v>
      </c>
      <c r="B60" s="53" t="s">
        <v>82</v>
      </c>
      <c r="C60" s="45">
        <v>-0.61</v>
      </c>
      <c r="D60" s="45"/>
      <c r="E60" s="45"/>
      <c r="F60" s="45"/>
      <c r="G60" s="44"/>
      <c r="H60" s="44"/>
      <c r="I60" s="44"/>
      <c r="L60" s="45"/>
      <c r="M60" s="45"/>
      <c r="P60" s="45"/>
      <c r="Q60" s="45"/>
      <c r="S60" s="28"/>
    </row>
    <row r="61" spans="1:19" ht="16">
      <c r="A61" s="54" t="s">
        <v>157</v>
      </c>
      <c r="B61" s="53" t="s">
        <v>262</v>
      </c>
      <c r="C61" s="45">
        <v>15.85</v>
      </c>
      <c r="D61" s="45"/>
      <c r="E61" s="45"/>
      <c r="F61" s="45"/>
      <c r="G61" s="44"/>
      <c r="H61" s="44"/>
      <c r="I61" s="44"/>
      <c r="L61" s="45"/>
      <c r="M61" s="45"/>
      <c r="P61" s="45"/>
      <c r="Q61" s="45"/>
      <c r="S61" s="28"/>
    </row>
    <row r="62" spans="1:19" ht="16">
      <c r="A62" s="31" t="s">
        <v>116</v>
      </c>
      <c r="B62" s="53" t="s">
        <v>50</v>
      </c>
      <c r="C62" s="45">
        <v>9.24</v>
      </c>
      <c r="D62" s="45"/>
      <c r="E62" s="45"/>
      <c r="F62" s="45"/>
      <c r="G62" s="44"/>
      <c r="H62" s="44"/>
      <c r="I62" s="44"/>
      <c r="L62" s="45"/>
      <c r="M62" s="45"/>
      <c r="P62" s="45"/>
      <c r="Q62" s="45"/>
      <c r="S62" s="28"/>
    </row>
    <row r="63" spans="1:19" ht="16">
      <c r="A63" s="31" t="s">
        <v>101</v>
      </c>
      <c r="B63" s="53" t="s">
        <v>33</v>
      </c>
      <c r="C63" s="45">
        <v>-0.09</v>
      </c>
      <c r="D63" s="45"/>
      <c r="E63" s="45"/>
      <c r="F63" s="45"/>
      <c r="G63" s="44"/>
      <c r="H63" s="44"/>
      <c r="I63" s="44"/>
      <c r="L63" s="45"/>
      <c r="M63" s="45"/>
      <c r="P63" s="45"/>
      <c r="Q63" s="45"/>
      <c r="S63" s="28"/>
    </row>
    <row r="64" spans="1:19" ht="16">
      <c r="A64" s="31" t="s">
        <v>100</v>
      </c>
      <c r="B64" s="53" t="s">
        <v>32</v>
      </c>
      <c r="C64" s="45">
        <v>-0.82</v>
      </c>
      <c r="D64" s="45"/>
      <c r="E64" s="45"/>
      <c r="F64" s="45"/>
      <c r="G64" s="44"/>
      <c r="H64" s="44"/>
      <c r="I64" s="44"/>
      <c r="L64" s="45"/>
      <c r="M64" s="45"/>
      <c r="P64" s="45"/>
      <c r="Q64" s="45"/>
      <c r="S64" s="28"/>
    </row>
    <row r="65" spans="1:22" ht="16">
      <c r="A65" s="31" t="s">
        <v>143</v>
      </c>
      <c r="B65" s="53" t="s">
        <v>51</v>
      </c>
      <c r="C65" s="45">
        <v>-4.1900000000000004</v>
      </c>
      <c r="D65" s="45"/>
      <c r="E65" s="45"/>
      <c r="F65" s="45"/>
      <c r="G65" s="44"/>
      <c r="H65" s="44"/>
      <c r="I65" s="44"/>
      <c r="L65" s="45"/>
      <c r="M65" s="45"/>
      <c r="P65" s="45"/>
      <c r="Q65" s="45"/>
      <c r="S65" s="28"/>
    </row>
    <row r="66" spans="1:22" ht="16">
      <c r="A66" s="31" t="s">
        <v>132</v>
      </c>
      <c r="B66" s="53" t="s">
        <v>69</v>
      </c>
      <c r="C66" s="45">
        <v>-2.76</v>
      </c>
      <c r="D66" s="45"/>
      <c r="E66" s="45"/>
      <c r="F66" s="45"/>
      <c r="G66" s="44"/>
      <c r="H66" s="44"/>
      <c r="I66" s="44"/>
      <c r="L66" s="45"/>
      <c r="M66" s="45"/>
      <c r="P66" s="45"/>
      <c r="Q66" s="45"/>
      <c r="S66" s="28"/>
    </row>
    <row r="67" spans="1:22" ht="16">
      <c r="A67" s="31" t="s">
        <v>117</v>
      </c>
      <c r="B67" s="53" t="s">
        <v>51</v>
      </c>
      <c r="C67" s="45">
        <v>1.19</v>
      </c>
      <c r="D67" s="45"/>
      <c r="E67" s="45"/>
      <c r="F67" s="45"/>
      <c r="G67" s="44"/>
      <c r="H67" s="44"/>
      <c r="I67" s="44"/>
      <c r="L67" s="45"/>
      <c r="M67" s="45"/>
      <c r="P67" s="45"/>
      <c r="Q67" s="45"/>
      <c r="S67" s="28"/>
    </row>
    <row r="68" spans="1:22" ht="16">
      <c r="A68" s="31" t="s">
        <v>114</v>
      </c>
      <c r="B68" s="53" t="s">
        <v>47</v>
      </c>
      <c r="C68" s="45">
        <v>2.68</v>
      </c>
      <c r="D68" s="45"/>
      <c r="E68" s="45"/>
      <c r="F68" s="45"/>
      <c r="G68" s="44"/>
      <c r="H68" s="44"/>
      <c r="I68" s="44"/>
      <c r="L68" s="45"/>
      <c r="M68" s="45"/>
      <c r="P68" s="45"/>
      <c r="Q68" s="45"/>
      <c r="S68" s="28"/>
    </row>
    <row r="69" spans="1:22" ht="16">
      <c r="A69" s="31" t="s">
        <v>130</v>
      </c>
      <c r="B69" s="53" t="s">
        <v>66</v>
      </c>
      <c r="C69" s="45">
        <v>-0.88</v>
      </c>
      <c r="D69" s="45"/>
      <c r="E69" s="45"/>
      <c r="F69" s="45"/>
      <c r="G69" s="44"/>
      <c r="H69" s="44"/>
      <c r="I69" s="44"/>
      <c r="L69" s="45"/>
      <c r="M69" s="45"/>
      <c r="P69" s="45"/>
      <c r="Q69" s="45"/>
      <c r="S69" s="28"/>
    </row>
    <row r="70" spans="1:22" ht="19">
      <c r="A70" s="31" t="s">
        <v>113</v>
      </c>
      <c r="B70" s="53" t="s">
        <v>46</v>
      </c>
      <c r="C70" s="45">
        <v>-5.85</v>
      </c>
      <c r="D70" s="45"/>
      <c r="E70" s="45"/>
      <c r="F70" s="45"/>
      <c r="G70" s="10"/>
      <c r="I70" s="44"/>
      <c r="L70" s="45"/>
      <c r="M70" s="45"/>
      <c r="P70" s="46"/>
      <c r="Q70" s="45"/>
      <c r="R70" s="33"/>
      <c r="S70" s="35"/>
    </row>
    <row r="71" spans="1:22" ht="16">
      <c r="A71" s="31" t="s">
        <v>145</v>
      </c>
      <c r="B71" s="53" t="s">
        <v>89</v>
      </c>
      <c r="C71" s="45">
        <v>2.2400000000000002</v>
      </c>
      <c r="D71" s="45"/>
      <c r="E71" s="45"/>
      <c r="F71" s="45"/>
      <c r="G71" s="44"/>
      <c r="H71" s="44"/>
      <c r="I71" s="44"/>
      <c r="L71" s="45"/>
      <c r="M71" s="45"/>
      <c r="P71" s="45"/>
      <c r="Q71" s="45"/>
      <c r="R71" s="33"/>
      <c r="S71" s="28"/>
    </row>
    <row r="72" spans="1:22" ht="16">
      <c r="A72" s="28"/>
      <c r="B72" s="28"/>
      <c r="P72" s="45"/>
      <c r="Q72" s="45"/>
      <c r="S72" s="28"/>
    </row>
    <row r="73" spans="1:22" ht="16">
      <c r="T73" s="28"/>
      <c r="U73" s="28"/>
      <c r="V73" s="28"/>
    </row>
  </sheetData>
  <sortState xmlns:xlrd2="http://schemas.microsoft.com/office/spreadsheetml/2017/richdata2" ref="T1:V73">
    <sortCondition ref="T1:T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720"/>
  <sheetViews>
    <sheetView zoomScale="130" zoomScaleNormal="130" workbookViewId="0">
      <pane xSplit="2" ySplit="2" topLeftCell="AN3" activePane="bottomRight" state="frozen"/>
      <selection pane="topRight" activeCell="C1" sqref="C1"/>
      <selection pane="bottomLeft" activeCell="A3" sqref="A3"/>
      <selection pane="bottomRight" activeCell="AP7" sqref="AP7:AP9"/>
    </sheetView>
  </sheetViews>
  <sheetFormatPr baseColWidth="10" defaultColWidth="14.5" defaultRowHeight="15.75" customHeight="1"/>
  <cols>
    <col min="1" max="1" width="37.83203125" bestFit="1" customWidth="1"/>
    <col min="2" max="2" width="11.1640625" bestFit="1" customWidth="1"/>
    <col min="3" max="3" width="30.1640625" style="11" bestFit="1" customWidth="1"/>
    <col min="4" max="4" width="27.6640625" style="11" bestFit="1" customWidth="1"/>
    <col min="5" max="5" width="32.6640625" style="15" bestFit="1" customWidth="1"/>
    <col min="6" max="6" width="23" style="15" bestFit="1" customWidth="1"/>
    <col min="7" max="7" width="19.83203125" style="15" bestFit="1" customWidth="1"/>
    <col min="8" max="8" width="29.1640625" style="11" bestFit="1" customWidth="1"/>
    <col min="9" max="9" width="26.6640625" style="11" bestFit="1" customWidth="1"/>
    <col min="10" max="10" width="31.6640625" style="15" bestFit="1" customWidth="1"/>
    <col min="11" max="11" width="22" style="15" bestFit="1" customWidth="1"/>
    <col min="12" max="12" width="18.83203125" style="15" bestFit="1" customWidth="1"/>
    <col min="13" max="13" width="9.83203125" bestFit="1" customWidth="1"/>
    <col min="14" max="14" width="9.33203125" bestFit="1" customWidth="1"/>
    <col min="15" max="15" width="7.6640625" bestFit="1" customWidth="1"/>
    <col min="16" max="16" width="8.6640625" style="15" bestFit="1" customWidth="1"/>
    <col min="17" max="17" width="12.6640625" style="15" bestFit="1" customWidth="1"/>
    <col min="18" max="18" width="23.5" style="15" bestFit="1" customWidth="1"/>
    <col min="19" max="19" width="20.33203125" style="15" bestFit="1" customWidth="1"/>
    <col min="20" max="21" width="11" style="52" bestFit="1" customWidth="1"/>
    <col min="22" max="22" width="15.5" style="11" bestFit="1" customWidth="1"/>
    <col min="23" max="26" width="12.5" style="11" bestFit="1" customWidth="1"/>
    <col min="27" max="29" width="13.33203125" style="11" bestFit="1" customWidth="1"/>
    <col min="30" max="30" width="22.33203125" style="15" bestFit="1" customWidth="1"/>
    <col min="31" max="34" width="19.1640625" style="15" bestFit="1" customWidth="1"/>
    <col min="35" max="36" width="20.1640625" style="15" bestFit="1" customWidth="1"/>
    <col min="37" max="37" width="18.5" style="15" bestFit="1" customWidth="1"/>
    <col min="38" max="38" width="23.33203125" style="15" bestFit="1" customWidth="1"/>
    <col min="39" max="39" width="20.1640625" style="15" bestFit="1" customWidth="1"/>
    <col min="40" max="40" width="32.83203125" style="15" bestFit="1" customWidth="1"/>
    <col min="41" max="41" width="23" bestFit="1" customWidth="1"/>
    <col min="42" max="42" width="20" bestFit="1" customWidth="1"/>
    <col min="43" max="43" width="9.83203125" bestFit="1" customWidth="1"/>
    <col min="44" max="44" width="9.33203125" bestFit="1" customWidth="1"/>
    <col min="45" max="45" width="17.5" bestFit="1" customWidth="1"/>
  </cols>
  <sheetData>
    <row r="1" spans="1:47" ht="15.75" customHeight="1">
      <c r="A1" s="1"/>
      <c r="B1" s="1"/>
      <c r="C1" s="58" t="s">
        <v>166</v>
      </c>
      <c r="D1" s="58"/>
      <c r="E1" s="58"/>
      <c r="F1" s="58"/>
      <c r="G1" s="58"/>
      <c r="H1" s="58"/>
      <c r="I1" s="58"/>
      <c r="J1" s="58"/>
      <c r="K1" s="58"/>
      <c r="L1" s="58"/>
      <c r="M1" s="56" t="s">
        <v>167</v>
      </c>
      <c r="N1" s="56"/>
      <c r="O1" s="56"/>
      <c r="P1" s="56"/>
      <c r="Q1" s="56"/>
      <c r="R1" s="56"/>
      <c r="S1" s="56"/>
      <c r="T1" s="56"/>
      <c r="U1" s="56"/>
      <c r="V1" s="57" t="s">
        <v>168</v>
      </c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</row>
    <row r="2" spans="1:47" ht="15.75" customHeight="1">
      <c r="A2" s="1" t="s">
        <v>8</v>
      </c>
      <c r="B2" s="1" t="s">
        <v>21</v>
      </c>
      <c r="C2" s="47" t="s">
        <v>0</v>
      </c>
      <c r="D2" s="47" t="s">
        <v>1</v>
      </c>
      <c r="E2" s="14" t="s">
        <v>9</v>
      </c>
      <c r="F2" s="20" t="s">
        <v>15</v>
      </c>
      <c r="G2" s="26" t="s">
        <v>151</v>
      </c>
      <c r="H2" s="47" t="s">
        <v>2</v>
      </c>
      <c r="I2" s="47" t="s">
        <v>3</v>
      </c>
      <c r="J2" s="14" t="s">
        <v>10</v>
      </c>
      <c r="K2" s="20" t="s">
        <v>220</v>
      </c>
      <c r="L2" s="27" t="s">
        <v>152</v>
      </c>
      <c r="M2" s="22" t="s">
        <v>4</v>
      </c>
      <c r="N2" s="22" t="s">
        <v>19</v>
      </c>
      <c r="O2" s="21" t="s">
        <v>14</v>
      </c>
      <c r="P2" s="48" t="s">
        <v>5</v>
      </c>
      <c r="Q2" s="16" t="s">
        <v>11</v>
      </c>
      <c r="R2" s="20" t="s">
        <v>18</v>
      </c>
      <c r="S2" s="26" t="s">
        <v>153</v>
      </c>
      <c r="T2" s="50" t="s">
        <v>6</v>
      </c>
      <c r="U2" s="50" t="s">
        <v>7</v>
      </c>
      <c r="V2" s="25" t="s">
        <v>169</v>
      </c>
      <c r="W2" s="25" t="s">
        <v>170</v>
      </c>
      <c r="X2" s="25" t="s">
        <v>171</v>
      </c>
      <c r="Y2" s="25" t="s">
        <v>172</v>
      </c>
      <c r="Z2" s="25" t="s">
        <v>173</v>
      </c>
      <c r="AA2" s="25" t="s">
        <v>174</v>
      </c>
      <c r="AB2" s="25" t="s">
        <v>175</v>
      </c>
      <c r="AC2" s="25" t="s">
        <v>176</v>
      </c>
      <c r="AD2" s="26" t="s">
        <v>210</v>
      </c>
      <c r="AE2" s="26" t="s">
        <v>211</v>
      </c>
      <c r="AF2" s="27" t="s">
        <v>212</v>
      </c>
      <c r="AG2" s="27" t="s">
        <v>213</v>
      </c>
      <c r="AH2" s="27" t="s">
        <v>214</v>
      </c>
      <c r="AI2" s="27" t="s">
        <v>215</v>
      </c>
      <c r="AJ2" s="27" t="s">
        <v>216</v>
      </c>
      <c r="AK2" s="16" t="s">
        <v>12</v>
      </c>
      <c r="AL2" s="20" t="s">
        <v>16</v>
      </c>
      <c r="AM2" s="26" t="s">
        <v>154</v>
      </c>
      <c r="AN2" s="16" t="s">
        <v>13</v>
      </c>
      <c r="AO2" s="20" t="s">
        <v>17</v>
      </c>
      <c r="AP2" s="26" t="s">
        <v>155</v>
      </c>
      <c r="AQ2" s="2" t="s">
        <v>177</v>
      </c>
      <c r="AR2" s="2" t="s">
        <v>234</v>
      </c>
      <c r="AS2" s="2" t="s">
        <v>188</v>
      </c>
      <c r="AT2" s="2"/>
      <c r="AU2" s="2"/>
    </row>
    <row r="3" spans="1:47" ht="15.75" customHeight="1">
      <c r="A3" s="7" t="s">
        <v>20</v>
      </c>
      <c r="B3" s="7" t="s">
        <v>22</v>
      </c>
      <c r="C3" s="4">
        <v>4.3056137799823597</v>
      </c>
      <c r="D3" s="4">
        <f>POWER(10,C3)</f>
        <v>20212.208984374822</v>
      </c>
      <c r="E3" s="13">
        <f>D3*0.785/1000</f>
        <v>15.866584052734236</v>
      </c>
      <c r="F3" s="13">
        <f>(1-13.562/E3)*100</f>
        <v>14.524765034960973</v>
      </c>
      <c r="G3" s="13">
        <f>10*LOG10(E3/13.562)</f>
        <v>0.6815969668662214</v>
      </c>
      <c r="H3" s="4">
        <v>4.2736408423887298</v>
      </c>
      <c r="I3" s="4">
        <f>POWER(10,H3)</f>
        <v>18777.632812499873</v>
      </c>
      <c r="J3" s="13">
        <f>I3*0.785/1000</f>
        <v>14.740441757812402</v>
      </c>
      <c r="K3" s="13">
        <f>(1-14.025/J3)*100</f>
        <v>4.8535978064105141</v>
      </c>
      <c r="L3" s="13">
        <f>10*LOG10(J3/13.562)</f>
        <v>0.36186759092991949</v>
      </c>
      <c r="M3" s="3">
        <v>-594</v>
      </c>
      <c r="N3" s="3">
        <v>-487</v>
      </c>
      <c r="O3" s="3">
        <f>N3-M3</f>
        <v>107</v>
      </c>
      <c r="P3" s="13">
        <v>0.40100000000000002</v>
      </c>
      <c r="Q3" s="13">
        <f t="shared" ref="Q3:Q21" si="0">1000*P3/(0.785)</f>
        <v>510.828025477707</v>
      </c>
      <c r="R3" s="13">
        <f t="shared" ref="R3:R21" si="1">(1-Q3/603.822)*100</f>
        <v>15.400892071221817</v>
      </c>
      <c r="S3" s="13">
        <f>10*LOG10(603.8216561/Q3)</f>
        <v>0.7263396908917773</v>
      </c>
      <c r="T3" s="43">
        <v>212.2</v>
      </c>
      <c r="U3" s="43">
        <v>147.19999999999999</v>
      </c>
      <c r="AO3" s="11"/>
      <c r="AQ3" s="10" t="s">
        <v>233</v>
      </c>
      <c r="AR3" s="10" t="s">
        <v>236</v>
      </c>
    </row>
    <row r="4" spans="1:47" ht="15.75" customHeight="1">
      <c r="A4" s="7" t="s">
        <v>20</v>
      </c>
      <c r="B4" s="7" t="s">
        <v>22</v>
      </c>
      <c r="C4" s="4">
        <v>4.0975935564728996</v>
      </c>
      <c r="D4" s="4">
        <f>POWER(10,C4)</f>
        <v>12519.689453124869</v>
      </c>
      <c r="E4" s="13">
        <f>D4*0.785/1000</f>
        <v>9.8279562207030224</v>
      </c>
      <c r="F4" s="13">
        <f>(1-13.562/E4)*100</f>
        <v>-37.99410269483139</v>
      </c>
      <c r="G4" s="13">
        <f t="shared" ref="G4:G54" si="2">10*LOG10(E4/13.562)</f>
        <v>-1.3986052682283823</v>
      </c>
      <c r="H4" s="4">
        <v>4.2510034126865301</v>
      </c>
      <c r="I4" s="4">
        <f>POWER(10,H4)</f>
        <v>17823.92773437492</v>
      </c>
      <c r="J4" s="13">
        <f>I4*0.785/1000</f>
        <v>13.991783271484314</v>
      </c>
      <c r="K4" s="13">
        <f>(1-14.025/J4)*100</f>
        <v>-0.23740167976573634</v>
      </c>
      <c r="L4" s="13">
        <f t="shared" ref="L4:L54" si="3">10*LOG10(J4/13.562)</f>
        <v>0.13549329390792458</v>
      </c>
      <c r="M4" s="3">
        <v>-650</v>
      </c>
      <c r="N4" s="3">
        <v>-488</v>
      </c>
      <c r="O4" s="3">
        <f>N4-M4</f>
        <v>162</v>
      </c>
      <c r="P4" s="13">
        <v>0.67200000000000004</v>
      </c>
      <c r="Q4" s="13">
        <f t="shared" si="0"/>
        <v>856.05095541401272</v>
      </c>
      <c r="R4" s="13">
        <f t="shared" si="1"/>
        <v>-41.772071142491107</v>
      </c>
      <c r="S4" s="13">
        <f t="shared" ref="S4:S54" si="4">10*LOG10(603.8216561/Q4)</f>
        <v>-1.5159093134446513</v>
      </c>
      <c r="T4" s="43">
        <v>261</v>
      </c>
      <c r="U4" s="43">
        <v>179</v>
      </c>
      <c r="V4" s="4">
        <v>15110</v>
      </c>
      <c r="W4" s="4">
        <v>15891</v>
      </c>
      <c r="X4" s="4">
        <v>13420</v>
      </c>
      <c r="Y4" s="4">
        <v>16606</v>
      </c>
      <c r="Z4" s="4">
        <v>14600</v>
      </c>
      <c r="AA4" s="4">
        <v>12819</v>
      </c>
      <c r="AB4" s="4">
        <v>14902</v>
      </c>
      <c r="AC4" s="4">
        <v>14439</v>
      </c>
      <c r="AD4" s="13">
        <f t="shared" ref="AD4:AD21" si="5">10*LOG10(V4/14535)</f>
        <v>0.16849428232578795</v>
      </c>
      <c r="AE4" s="13">
        <f t="shared" ref="AE4:AE21" si="6">10*LOG10(W4/15760)</f>
        <v>3.5950145017236444E-2</v>
      </c>
      <c r="AF4" s="13">
        <f t="shared" ref="AF4:AF21" si="7">10*LOG10(X4/16260)</f>
        <v>-0.83368025425076064</v>
      </c>
      <c r="AG4" s="13">
        <f t="shared" ref="AG4:AG21" si="8">10*LOG10(Y4/16421)</f>
        <v>4.8654324933421395E-2</v>
      </c>
      <c r="AH4" s="13">
        <f t="shared" ref="AH4:AH21" si="9">10*LOG10(Z4/15243.33333)</f>
        <v>-0.18727090781613084</v>
      </c>
      <c r="AI4" s="13">
        <f t="shared" ref="AI4:AI21" si="10">10*LOG10(AA4/12768)</f>
        <v>1.7312735302047733E-2</v>
      </c>
      <c r="AJ4" s="13">
        <f t="shared" ref="AJ4:AJ21" si="11">10*LOG10(AB4/13734)</f>
        <v>0.35447516003380153</v>
      </c>
      <c r="AK4" s="15">
        <f t="shared" ref="AK4:AK22" si="12">AC4*0.785/1000</f>
        <v>11.334614999999999</v>
      </c>
      <c r="AL4" s="13">
        <f t="shared" ref="AL4:AL21" si="13">(1-11.271815/AK4)*100</f>
        <v>0.55405498995774183</v>
      </c>
      <c r="AM4" s="13">
        <f>10*LOG10(AK4/11.271815)</f>
        <v>2.4129208921515825E-2</v>
      </c>
      <c r="AN4" s="17">
        <f t="shared" ref="AN4:AN22" si="14">(0.785/24000)*(AVERAGE(V4:W4)*0.5+AVERAGE(W4:X4)*1+AVERAGE(X4:Y4)*1+AVERAGE(Y4:Z4)*3+AVERAGE(Z4:AA4)*6+AVERAGE(AA4:AB4)*6+AVERAGE(AB4:AC4)*6)</f>
        <v>11.044647447916667</v>
      </c>
      <c r="AO4" s="13">
        <f t="shared" ref="AO4:AO21" si="15">(1-10.965/AN4)*100</f>
        <v>0.72114069998395758</v>
      </c>
      <c r="AP4" s="13">
        <f>10*LOG10(AN4/10.96523979)</f>
        <v>3.1337241223496862E-2</v>
      </c>
      <c r="AQ4" s="10" t="s">
        <v>233</v>
      </c>
      <c r="AR4" s="10" t="s">
        <v>236</v>
      </c>
    </row>
    <row r="5" spans="1:47" ht="15.75" customHeight="1">
      <c r="A5" s="7" t="s">
        <v>20</v>
      </c>
      <c r="B5" s="7" t="s">
        <v>22</v>
      </c>
      <c r="C5" s="4">
        <v>4.3286119487176098</v>
      </c>
      <c r="D5" s="4">
        <f>POWER(10,C5)</f>
        <v>21311.398437499785</v>
      </c>
      <c r="E5" s="13">
        <f>D5*0.785/1000</f>
        <v>16.729447773437332</v>
      </c>
      <c r="F5" s="13">
        <f>(1-13.562/E5)*100</f>
        <v>18.933367175852279</v>
      </c>
      <c r="G5" s="13">
        <f t="shared" si="2"/>
        <v>0.91157865421871764</v>
      </c>
      <c r="H5" s="4">
        <v>4.2303910382013399</v>
      </c>
      <c r="I5" s="4">
        <f>POWER(10,H5)</f>
        <v>16997.734374999851</v>
      </c>
      <c r="J5" s="13">
        <f>I5*0.785/1000</f>
        <v>13.343221484374885</v>
      </c>
      <c r="K5" s="13">
        <f>(1-14.025/J5)*100</f>
        <v>-5.1095495673476599</v>
      </c>
      <c r="L5" s="13">
        <f t="shared" si="3"/>
        <v>-7.0630450943977366E-2</v>
      </c>
      <c r="M5" s="3">
        <v>-613</v>
      </c>
      <c r="N5" s="3">
        <v>-481</v>
      </c>
      <c r="O5" s="3">
        <f>N5-M5</f>
        <v>132</v>
      </c>
      <c r="P5" s="13">
        <v>0.28100000000000003</v>
      </c>
      <c r="Q5" s="13">
        <f t="shared" si="0"/>
        <v>357.96178343949043</v>
      </c>
      <c r="R5" s="13">
        <f t="shared" si="1"/>
        <v>40.717333346666663</v>
      </c>
      <c r="S5" s="13">
        <f t="shared" si="4"/>
        <v>2.2707202180428014</v>
      </c>
      <c r="T5" s="43">
        <v>230</v>
      </c>
      <c r="U5" s="43">
        <v>196</v>
      </c>
      <c r="V5" s="4">
        <v>13754</v>
      </c>
      <c r="W5" s="4">
        <v>16203</v>
      </c>
      <c r="X5" s="4">
        <v>16108</v>
      </c>
      <c r="Y5" s="4">
        <v>13833</v>
      </c>
      <c r="Z5" s="4">
        <v>10603</v>
      </c>
      <c r="AA5" s="4">
        <v>9485</v>
      </c>
      <c r="AB5" s="4">
        <v>10674</v>
      </c>
      <c r="AC5" s="4">
        <v>16292</v>
      </c>
      <c r="AD5" s="13">
        <f t="shared" si="5"/>
        <v>-0.23986016100442822</v>
      </c>
      <c r="AE5" s="13">
        <f t="shared" si="6"/>
        <v>0.12039218847319413</v>
      </c>
      <c r="AF5" s="13">
        <f t="shared" si="7"/>
        <v>-4.0789203226553987E-2</v>
      </c>
      <c r="AG5" s="13">
        <f t="shared" si="8"/>
        <v>-0.74483224154819805</v>
      </c>
      <c r="AH5" s="13">
        <f t="shared" si="9"/>
        <v>-1.5765118515880914</v>
      </c>
      <c r="AI5" s="13">
        <f t="shared" si="10"/>
        <v>-1.2908553878197282</v>
      </c>
      <c r="AJ5" s="13">
        <f t="shared" si="11"/>
        <v>-1.0946984459061784</v>
      </c>
      <c r="AK5" s="15">
        <f t="shared" si="12"/>
        <v>12.789220000000002</v>
      </c>
      <c r="AL5" s="13">
        <f t="shared" si="13"/>
        <v>11.864718880432124</v>
      </c>
      <c r="AM5" s="13">
        <f t="shared" ref="AM5:AM55" si="16">10*LOG10(AK5/11.271815)</f>
        <v>0.54850205909090821</v>
      </c>
      <c r="AN5" s="17">
        <f t="shared" si="14"/>
        <v>9.0572073437499991</v>
      </c>
      <c r="AO5" s="13">
        <f t="shared" si="15"/>
        <v>-21.063806798753347</v>
      </c>
      <c r="AP5" s="13">
        <f t="shared" ref="AP5:AP55" si="17">10*LOG10(AN5/10.96523979)</f>
        <v>-0.83023823332536095</v>
      </c>
      <c r="AQ5" s="10" t="s">
        <v>233</v>
      </c>
      <c r="AR5" s="10" t="s">
        <v>236</v>
      </c>
    </row>
    <row r="6" spans="1:47" ht="15.75" customHeight="1">
      <c r="A6" s="7" t="s">
        <v>20</v>
      </c>
      <c r="B6" s="7" t="s">
        <v>22</v>
      </c>
      <c r="C6" s="4">
        <v>4.1779098711919396</v>
      </c>
      <c r="D6" s="4">
        <f>POWER(10,C6)</f>
        <v>15062.944335937455</v>
      </c>
      <c r="E6" s="13">
        <f>D6*0.785/1000</f>
        <v>11.824411303710901</v>
      </c>
      <c r="F6" s="13">
        <f>(1-13.562/E6)*100</f>
        <v>-14.694927736011554</v>
      </c>
      <c r="G6" s="13">
        <f t="shared" si="2"/>
        <v>-0.59544212103798289</v>
      </c>
      <c r="H6" s="4"/>
      <c r="J6" s="13"/>
      <c r="K6" s="13"/>
      <c r="L6" s="13"/>
      <c r="M6" s="3">
        <v>-622</v>
      </c>
      <c r="N6" s="3">
        <v>-486</v>
      </c>
      <c r="O6" s="3">
        <f>N6-M6</f>
        <v>136</v>
      </c>
      <c r="P6" s="13">
        <v>0.54200000000000004</v>
      </c>
      <c r="Q6" s="13">
        <f t="shared" si="0"/>
        <v>690.44585987261144</v>
      </c>
      <c r="R6" s="13">
        <f t="shared" si="1"/>
        <v>-14.345926427425869</v>
      </c>
      <c r="S6" s="13">
        <f t="shared" si="4"/>
        <v>-0.58220944829026833</v>
      </c>
      <c r="T6" s="43">
        <v>207.2</v>
      </c>
      <c r="U6" s="43">
        <v>150.19999999999999</v>
      </c>
      <c r="V6" s="4">
        <v>14741</v>
      </c>
      <c r="W6" s="4">
        <v>15187</v>
      </c>
      <c r="X6" s="4">
        <v>19253</v>
      </c>
      <c r="Y6" s="4">
        <v>18825</v>
      </c>
      <c r="Z6" s="4">
        <v>20527</v>
      </c>
      <c r="AA6" s="4">
        <v>16000</v>
      </c>
      <c r="AB6" s="4">
        <v>15627</v>
      </c>
      <c r="AC6" s="4">
        <v>12346</v>
      </c>
      <c r="AD6" s="13">
        <f t="shared" si="5"/>
        <v>6.11191008624246E-2</v>
      </c>
      <c r="AE6" s="13">
        <f t="shared" si="6"/>
        <v>-0.16084220207229469</v>
      </c>
      <c r="AF6" s="13">
        <f t="shared" si="7"/>
        <v>0.73377869569995879</v>
      </c>
      <c r="AG6" s="13">
        <f t="shared" si="8"/>
        <v>0.5933538377884835</v>
      </c>
      <c r="AH6" s="13">
        <f t="shared" si="9"/>
        <v>1.292455357490808</v>
      </c>
      <c r="AI6" s="13">
        <f t="shared" si="10"/>
        <v>0.97997108649270559</v>
      </c>
      <c r="AJ6" s="13">
        <f t="shared" si="11"/>
        <v>0.5607856909417307</v>
      </c>
      <c r="AK6" s="15">
        <f t="shared" si="12"/>
        <v>9.6916100000000007</v>
      </c>
      <c r="AL6" s="13">
        <f t="shared" si="13"/>
        <v>-16.304876073222086</v>
      </c>
      <c r="AM6" s="13">
        <f t="shared" si="16"/>
        <v>-0.65597922873778547</v>
      </c>
      <c r="AN6" s="17">
        <f t="shared" si="14"/>
        <v>12.793864583333333</v>
      </c>
      <c r="AO6" s="13">
        <f t="shared" si="15"/>
        <v>14.29485650266933</v>
      </c>
      <c r="AP6" s="13">
        <f t="shared" si="17"/>
        <v>0.66983616261962864</v>
      </c>
      <c r="AQ6" s="10" t="s">
        <v>233</v>
      </c>
      <c r="AR6" s="10" t="s">
        <v>236</v>
      </c>
    </row>
    <row r="7" spans="1:47" ht="14">
      <c r="A7" s="7" t="s">
        <v>93</v>
      </c>
      <c r="B7" s="7" t="s">
        <v>23</v>
      </c>
      <c r="C7" s="4">
        <v>4.9800459675873299</v>
      </c>
      <c r="D7" s="4">
        <f t="shared" ref="D7:D17" si="18">POWER(10,C7)</f>
        <v>95509.36718749805</v>
      </c>
      <c r="E7" s="13">
        <f t="shared" ref="E7:E17" si="19">D7*0.785/1000</f>
        <v>74.974853242185972</v>
      </c>
      <c r="F7" s="13">
        <f t="shared" ref="F7:F17" si="20">(1-13.562/E7)*100</f>
        <v>81.911268360617356</v>
      </c>
      <c r="G7" s="13">
        <f t="shared" si="2"/>
        <v>7.4259188429159186</v>
      </c>
      <c r="H7" s="4">
        <v>4.9396211454314196</v>
      </c>
      <c r="I7" s="9">
        <f t="shared" ref="I7:I21" si="21">POWER(10,H7)</f>
        <v>87020.414062498137</v>
      </c>
      <c r="J7" s="13">
        <f t="shared" ref="J7:J21" si="22">I7*0.785/1000</f>
        <v>68.31102503906105</v>
      </c>
      <c r="K7" s="13">
        <f t="shared" ref="K7:K21" si="23">(1-14.025/J7)*100</f>
        <v>79.468907117144937</v>
      </c>
      <c r="L7" s="13">
        <f t="shared" si="3"/>
        <v>7.021670621356817</v>
      </c>
      <c r="M7" s="3">
        <v>-499</v>
      </c>
      <c r="N7" s="3">
        <v>-466</v>
      </c>
      <c r="O7" s="3">
        <f t="shared" ref="O7:O9" si="24">N7-M7</f>
        <v>33</v>
      </c>
      <c r="P7" s="13">
        <v>0.19400000000000001</v>
      </c>
      <c r="Q7" s="13">
        <f t="shared" si="0"/>
        <v>247.13375796178343</v>
      </c>
      <c r="R7" s="13">
        <f t="shared" si="1"/>
        <v>59.07175327136418</v>
      </c>
      <c r="S7" s="13">
        <f t="shared" si="4"/>
        <v>3.8797661177913407</v>
      </c>
      <c r="T7" s="43">
        <v>60</v>
      </c>
      <c r="U7" s="43">
        <v>160</v>
      </c>
      <c r="V7" s="4">
        <v>68645</v>
      </c>
      <c r="W7" s="4">
        <v>67993</v>
      </c>
      <c r="X7" s="4">
        <v>81104</v>
      </c>
      <c r="Y7" s="4">
        <v>96089</v>
      </c>
      <c r="Z7" s="4">
        <v>107655</v>
      </c>
      <c r="AA7" s="4">
        <v>94639</v>
      </c>
      <c r="AB7" s="4">
        <v>103001</v>
      </c>
      <c r="AC7" s="4">
        <v>91673</v>
      </c>
      <c r="AD7" s="13">
        <f t="shared" si="5"/>
        <v>6.7419387325232858</v>
      </c>
      <c r="AE7" s="13">
        <f t="shared" si="6"/>
        <v>6.3490799046655555</v>
      </c>
      <c r="AF7" s="13">
        <f t="shared" si="7"/>
        <v>6.9792173262127726</v>
      </c>
      <c r="AG7" s="13">
        <f t="shared" si="8"/>
        <v>7.6727407260240792</v>
      </c>
      <c r="AH7" s="13">
        <f t="shared" si="9"/>
        <v>8.4895425872194714</v>
      </c>
      <c r="AI7" s="13">
        <f t="shared" si="10"/>
        <v>8.6994726867855814</v>
      </c>
      <c r="AJ7" s="13">
        <f t="shared" si="11"/>
        <v>8.7504439807779821</v>
      </c>
      <c r="AK7" s="15">
        <f t="shared" si="12"/>
        <v>71.963305000000005</v>
      </c>
      <c r="AL7" s="13">
        <f t="shared" si="13"/>
        <v>84.336718553990821</v>
      </c>
      <c r="AM7" s="13">
        <f t="shared" si="16"/>
        <v>8.0511724836978242</v>
      </c>
      <c r="AN7" s="17">
        <f t="shared" si="14"/>
        <v>74.795601354166664</v>
      </c>
      <c r="AO7" s="55">
        <f t="shared" si="15"/>
        <v>85.340047006134313</v>
      </c>
      <c r="AP7" s="55">
        <f t="shared" si="17"/>
        <v>8.3385792488795722</v>
      </c>
      <c r="AQ7" s="10" t="s">
        <v>237</v>
      </c>
      <c r="AR7" s="10" t="s">
        <v>235</v>
      </c>
      <c r="AS7">
        <v>119.12</v>
      </c>
    </row>
    <row r="8" spans="1:47" ht="14">
      <c r="A8" s="7" t="s">
        <v>93</v>
      </c>
      <c r="B8" s="7" t="s">
        <v>23</v>
      </c>
      <c r="C8" s="4">
        <v>4.7531513384433097</v>
      </c>
      <c r="D8" s="4">
        <f t="shared" si="18"/>
        <v>56643.664062499745</v>
      </c>
      <c r="E8" s="13">
        <f t="shared" si="19"/>
        <v>44.465276289062302</v>
      </c>
      <c r="F8" s="13">
        <f t="shared" si="20"/>
        <v>69.499795949011073</v>
      </c>
      <c r="G8" s="13">
        <f t="shared" si="2"/>
        <v>5.1569725514757216</v>
      </c>
      <c r="H8" s="4">
        <v>4.6096604703816997</v>
      </c>
      <c r="I8" s="9">
        <f t="shared" si="21"/>
        <v>40706.191406249258</v>
      </c>
      <c r="J8" s="13">
        <f t="shared" si="22"/>
        <v>31.954360253905669</v>
      </c>
      <c r="K8" s="13">
        <f t="shared" si="23"/>
        <v>56.109276203438398</v>
      </c>
      <c r="L8" s="13">
        <f t="shared" si="3"/>
        <v>3.7220638708596172</v>
      </c>
      <c r="M8" s="3">
        <v>-495</v>
      </c>
      <c r="N8" s="3">
        <v>-471</v>
      </c>
      <c r="O8" s="3">
        <f t="shared" si="24"/>
        <v>24</v>
      </c>
      <c r="P8" s="13">
        <v>0.20499999999999999</v>
      </c>
      <c r="Q8" s="13">
        <f t="shared" si="0"/>
        <v>261.14649681528664</v>
      </c>
      <c r="R8" s="13">
        <f t="shared" si="1"/>
        <v>56.75107948778173</v>
      </c>
      <c r="S8" s="13">
        <f t="shared" si="4"/>
        <v>3.6402448065360571</v>
      </c>
      <c r="T8" s="43">
        <v>10</v>
      </c>
      <c r="U8" s="43">
        <v>180.9</v>
      </c>
      <c r="V8" s="4">
        <v>27940</v>
      </c>
      <c r="W8" s="4">
        <v>28591</v>
      </c>
      <c r="X8" s="4">
        <v>32569</v>
      </c>
      <c r="Y8" s="4">
        <v>41375</v>
      </c>
      <c r="Z8" s="4">
        <v>32206</v>
      </c>
      <c r="AA8" s="4">
        <v>38493</v>
      </c>
      <c r="AB8" s="4">
        <v>47786</v>
      </c>
      <c r="AC8" s="4">
        <v>53305</v>
      </c>
      <c r="AD8" s="13">
        <f t="shared" si="5"/>
        <v>2.8381136567171654</v>
      </c>
      <c r="AE8" s="13">
        <f t="shared" si="6"/>
        <v>2.5867313237188378</v>
      </c>
      <c r="AF8" s="13">
        <f t="shared" si="7"/>
        <v>3.0168388291477171</v>
      </c>
      <c r="AG8" s="13">
        <f t="shared" si="8"/>
        <v>4.013384056898853</v>
      </c>
      <c r="AH8" s="13">
        <f t="shared" si="9"/>
        <v>3.2485684202879508</v>
      </c>
      <c r="AI8" s="13">
        <f t="shared" si="10"/>
        <v>4.7925888568948167</v>
      </c>
      <c r="AJ8" s="13">
        <f t="shared" si="11"/>
        <v>5.4150363570215232</v>
      </c>
      <c r="AK8" s="15">
        <f t="shared" si="12"/>
        <v>41.844425000000001</v>
      </c>
      <c r="AL8" s="13">
        <f t="shared" si="13"/>
        <v>73.062564487383924</v>
      </c>
      <c r="AM8" s="13">
        <f t="shared" si="16"/>
        <v>5.6964375218144889</v>
      </c>
      <c r="AN8" s="17">
        <f t="shared" si="14"/>
        <v>31.604860468750001</v>
      </c>
      <c r="AO8" s="55">
        <f t="shared" si="15"/>
        <v>65.305969280130554</v>
      </c>
      <c r="AP8" s="55">
        <f t="shared" si="17"/>
        <v>4.5973574396198593</v>
      </c>
      <c r="AQ8" s="10" t="s">
        <v>237</v>
      </c>
      <c r="AR8" s="10" t="s">
        <v>235</v>
      </c>
      <c r="AS8">
        <v>119.12</v>
      </c>
    </row>
    <row r="9" spans="1:47" ht="14">
      <c r="A9" s="7" t="s">
        <v>93</v>
      </c>
      <c r="B9" s="7" t="s">
        <v>23</v>
      </c>
      <c r="C9" s="4">
        <v>5.4066988339265398</v>
      </c>
      <c r="D9" s="4">
        <f t="shared" si="18"/>
        <v>255093.17187499968</v>
      </c>
      <c r="E9" s="13">
        <f t="shared" si="19"/>
        <v>200.24813992187478</v>
      </c>
      <c r="F9" s="13">
        <f t="shared" si="20"/>
        <v>93.227402758751666</v>
      </c>
      <c r="G9" s="13">
        <f t="shared" si="2"/>
        <v>11.692447506308024</v>
      </c>
      <c r="H9" s="4">
        <v>5.2438968306807103</v>
      </c>
      <c r="I9" s="9">
        <f t="shared" si="21"/>
        <v>175346.39062499782</v>
      </c>
      <c r="J9" s="13">
        <f t="shared" si="22"/>
        <v>137.64691664062329</v>
      </c>
      <c r="K9" s="13">
        <f t="shared" si="23"/>
        <v>89.810886911025193</v>
      </c>
      <c r="L9" s="13">
        <f t="shared" si="3"/>
        <v>10.064427473849729</v>
      </c>
      <c r="M9" s="3">
        <v>-505</v>
      </c>
      <c r="N9" s="3">
        <v>-486</v>
      </c>
      <c r="O9" s="3">
        <f t="shared" si="24"/>
        <v>19</v>
      </c>
      <c r="P9" s="13">
        <v>0.11</v>
      </c>
      <c r="Q9" s="13">
        <f t="shared" si="0"/>
        <v>140.12738853503186</v>
      </c>
      <c r="R9" s="13">
        <f t="shared" si="1"/>
        <v>76.793262164175559</v>
      </c>
      <c r="S9" s="13">
        <f t="shared" si="4"/>
        <v>6.3438565655113504</v>
      </c>
      <c r="T9" s="43">
        <v>10.6</v>
      </c>
      <c r="U9" s="43">
        <v>189.2</v>
      </c>
      <c r="V9" s="11">
        <v>83945</v>
      </c>
      <c r="W9" s="11">
        <v>132582</v>
      </c>
      <c r="X9" s="11">
        <v>158295</v>
      </c>
      <c r="Y9" s="4">
        <v>222795</v>
      </c>
      <c r="Z9" s="4">
        <v>227402</v>
      </c>
      <c r="AA9" s="4">
        <v>234582</v>
      </c>
      <c r="AB9" s="4">
        <v>258369</v>
      </c>
      <c r="AC9" s="4">
        <v>235648</v>
      </c>
      <c r="AD9" s="13">
        <f t="shared" si="5"/>
        <v>7.6157979733870214</v>
      </c>
      <c r="AE9" s="13">
        <f t="shared" si="6"/>
        <v>9.2492835291138462</v>
      </c>
      <c r="AF9" s="13">
        <f t="shared" si="7"/>
        <v>9.8834665593719429</v>
      </c>
      <c r="AG9" s="13">
        <f t="shared" si="8"/>
        <v>11.325058390129378</v>
      </c>
      <c r="AH9" s="13">
        <f t="shared" si="9"/>
        <v>11.737143334213043</v>
      </c>
      <c r="AI9" s="13">
        <f t="shared" si="10"/>
        <v>12.641718106672037</v>
      </c>
      <c r="AJ9" s="13">
        <f t="shared" si="11"/>
        <v>12.744433612471243</v>
      </c>
      <c r="AK9" s="15">
        <f t="shared" si="12"/>
        <v>184.98367999999999</v>
      </c>
      <c r="AL9" s="13">
        <f t="shared" si="13"/>
        <v>93.906589489407935</v>
      </c>
      <c r="AM9" s="13">
        <f t="shared" si="16"/>
        <v>12.151395626470137</v>
      </c>
      <c r="AN9" s="17">
        <f t="shared" si="14"/>
        <v>177.02622494791666</v>
      </c>
      <c r="AO9" s="55">
        <f t="shared" si="15"/>
        <v>93.80600247041022</v>
      </c>
      <c r="AP9" s="55">
        <f t="shared" si="17"/>
        <v>12.0801947485276</v>
      </c>
      <c r="AQ9" s="10" t="s">
        <v>237</v>
      </c>
      <c r="AR9" s="10" t="s">
        <v>235</v>
      </c>
      <c r="AS9">
        <v>119.12</v>
      </c>
    </row>
    <row r="10" spans="1:47" ht="13" customHeight="1">
      <c r="A10" s="8" t="s">
        <v>94</v>
      </c>
      <c r="B10" s="8" t="s">
        <v>24</v>
      </c>
      <c r="C10" s="4">
        <v>3.5426938886395001</v>
      </c>
      <c r="D10" s="4">
        <f t="shared" si="18"/>
        <v>3488.9431152343045</v>
      </c>
      <c r="E10" s="13">
        <f t="shared" si="19"/>
        <v>2.7388203454589295</v>
      </c>
      <c r="F10" s="13">
        <f t="shared" si="20"/>
        <v>-395.17669249413609</v>
      </c>
      <c r="G10" s="13">
        <f t="shared" si="2"/>
        <v>-6.9476019465623757</v>
      </c>
      <c r="H10" s="4">
        <v>4.6276168525436798</v>
      </c>
      <c r="I10" s="9">
        <f t="shared" si="21"/>
        <v>42424.511718749665</v>
      </c>
      <c r="J10" s="13">
        <f t="shared" si="22"/>
        <v>33.303241699218489</v>
      </c>
      <c r="K10" s="13">
        <f t="shared" si="23"/>
        <v>57.886982514590713</v>
      </c>
      <c r="L10" s="13">
        <f t="shared" si="3"/>
        <v>3.9016276924794191</v>
      </c>
      <c r="M10" s="3">
        <v>-597</v>
      </c>
      <c r="N10" s="3"/>
      <c r="O10" s="3"/>
      <c r="P10" s="13">
        <v>2.6949999999999998</v>
      </c>
      <c r="Q10" s="13">
        <f t="shared" si="0"/>
        <v>3433.1210191082801</v>
      </c>
      <c r="R10" s="13">
        <f t="shared" si="1"/>
        <v>-468.56507697769871</v>
      </c>
      <c r="S10" s="13">
        <f t="shared" si="4"/>
        <v>-7.5478042781339738</v>
      </c>
      <c r="T10" s="43">
        <v>96</v>
      </c>
      <c r="U10" s="43">
        <v>165.3</v>
      </c>
      <c r="V10" s="4">
        <v>240623</v>
      </c>
      <c r="W10" s="4">
        <v>143879</v>
      </c>
      <c r="X10" s="4">
        <v>79861</v>
      </c>
      <c r="Y10" s="4">
        <v>27778</v>
      </c>
      <c r="Z10" s="4">
        <v>4189</v>
      </c>
      <c r="AA10" s="4">
        <v>3908</v>
      </c>
      <c r="AB10" s="4">
        <v>3155</v>
      </c>
      <c r="AC10" s="4">
        <v>3296</v>
      </c>
      <c r="AD10" s="13">
        <f t="shared" si="5"/>
        <v>12.189221010107588</v>
      </c>
      <c r="AE10" s="13">
        <f t="shared" si="6"/>
        <v>9.6044119753317112</v>
      </c>
      <c r="AF10" s="13">
        <f t="shared" si="7"/>
        <v>6.9121420276409138</v>
      </c>
      <c r="AG10" s="13">
        <f t="shared" si="8"/>
        <v>2.283013724807808</v>
      </c>
      <c r="AH10" s="13">
        <f t="shared" si="9"/>
        <v>-5.6096958620483068</v>
      </c>
      <c r="AI10" s="13">
        <f t="shared" si="10"/>
        <v>-5.1416831895991875</v>
      </c>
      <c r="AJ10" s="13">
        <f t="shared" si="11"/>
        <v>-6.3879767947803341</v>
      </c>
      <c r="AK10" s="15">
        <f t="shared" si="12"/>
        <v>2.5873600000000003</v>
      </c>
      <c r="AL10" s="13">
        <f t="shared" si="13"/>
        <v>-335.64927184466012</v>
      </c>
      <c r="AM10" s="13">
        <f t="shared" si="16"/>
        <v>-6.3913699247979103</v>
      </c>
      <c r="AN10" s="17">
        <f t="shared" si="14"/>
        <v>12.252492604166667</v>
      </c>
      <c r="AO10" s="13">
        <f t="shared" si="15"/>
        <v>10.508005560671252</v>
      </c>
      <c r="AP10" s="13">
        <f t="shared" si="17"/>
        <v>0.48206315682759915</v>
      </c>
      <c r="AQ10" s="10" t="s">
        <v>237</v>
      </c>
      <c r="AR10" s="10" t="s">
        <v>235</v>
      </c>
      <c r="AS10">
        <v>150.25</v>
      </c>
    </row>
    <row r="11" spans="1:47" ht="13">
      <c r="A11" s="8" t="s">
        <v>94</v>
      </c>
      <c r="B11" s="8" t="s">
        <v>24</v>
      </c>
      <c r="C11" s="4">
        <v>3.57962237482533</v>
      </c>
      <c r="D11" s="4">
        <f t="shared" si="18"/>
        <v>3798.5895996093095</v>
      </c>
      <c r="E11" s="13">
        <f t="shared" si="19"/>
        <v>2.9818928356933081</v>
      </c>
      <c r="F11" s="13">
        <f t="shared" si="20"/>
        <v>-354.81178389989839</v>
      </c>
      <c r="G11" s="13">
        <f t="shared" si="2"/>
        <v>-6.5783170847040822</v>
      </c>
      <c r="H11" s="4">
        <v>4.9423319081704804</v>
      </c>
      <c r="I11" s="9">
        <f t="shared" si="21"/>
        <v>87565.273437498385</v>
      </c>
      <c r="J11" s="13">
        <f t="shared" si="22"/>
        <v>68.738739648436237</v>
      </c>
      <c r="K11" s="13">
        <f t="shared" si="23"/>
        <v>79.596658199247244</v>
      </c>
      <c r="L11" s="13">
        <f t="shared" si="3"/>
        <v>7.0487782487474249</v>
      </c>
      <c r="M11" s="3">
        <v>-610</v>
      </c>
      <c r="N11" s="3"/>
      <c r="O11" s="3"/>
      <c r="P11" s="13">
        <v>3.3210000000000002</v>
      </c>
      <c r="Q11" s="13">
        <f t="shared" si="0"/>
        <v>4230.5732484076434</v>
      </c>
      <c r="R11" s="13">
        <f t="shared" si="1"/>
        <v>-600.63251229793605</v>
      </c>
      <c r="S11" s="13">
        <f t="shared" si="4"/>
        <v>-8.4549053388902511</v>
      </c>
      <c r="T11" s="43">
        <v>133.4</v>
      </c>
      <c r="U11" s="43">
        <v>233.1</v>
      </c>
      <c r="V11" s="4">
        <v>247305</v>
      </c>
      <c r="W11" s="4">
        <v>198161</v>
      </c>
      <c r="X11" s="4">
        <v>167332</v>
      </c>
      <c r="Y11" s="4">
        <v>78500</v>
      </c>
      <c r="Z11" s="4">
        <v>3221</v>
      </c>
      <c r="AA11" s="4">
        <v>3534</v>
      </c>
      <c r="AB11" s="4">
        <v>2686</v>
      </c>
      <c r="AC11" s="4">
        <v>3159</v>
      </c>
      <c r="AD11" s="13">
        <f t="shared" si="5"/>
        <v>12.308178608875156</v>
      </c>
      <c r="AE11" s="13">
        <f t="shared" si="6"/>
        <v>10.994619720541699</v>
      </c>
      <c r="AF11" s="13">
        <f t="shared" si="7"/>
        <v>10.124584606397205</v>
      </c>
      <c r="AG11" s="13">
        <f t="shared" si="8"/>
        <v>6.7947005565136278</v>
      </c>
      <c r="AH11" s="13">
        <f t="shared" si="9"/>
        <v>-6.7508922174635879</v>
      </c>
      <c r="AI11" s="13">
        <f t="shared" si="10"/>
        <v>-5.5785632883590885</v>
      </c>
      <c r="AJ11" s="13">
        <f t="shared" si="11"/>
        <v>-7.0869103472549</v>
      </c>
      <c r="AK11" s="15">
        <f t="shared" si="12"/>
        <v>2.4798149999999999</v>
      </c>
      <c r="AL11" s="13">
        <f t="shared" si="13"/>
        <v>-354.54257676479904</v>
      </c>
      <c r="AM11" s="13">
        <f t="shared" si="16"/>
        <v>-6.5757456959972043</v>
      </c>
      <c r="AN11" s="17">
        <f t="shared" si="14"/>
        <v>19.496472604166666</v>
      </c>
      <c r="AO11" s="13">
        <f t="shared" si="15"/>
        <v>43.759057227323119</v>
      </c>
      <c r="AP11" s="13">
        <f t="shared" si="17"/>
        <v>2.4993791046420095</v>
      </c>
      <c r="AQ11" s="10" t="s">
        <v>237</v>
      </c>
      <c r="AR11" s="10" t="s">
        <v>235</v>
      </c>
      <c r="AS11">
        <v>150.25</v>
      </c>
    </row>
    <row r="12" spans="1:47" ht="13" customHeight="1">
      <c r="A12" s="7" t="s">
        <v>95</v>
      </c>
      <c r="B12" s="7" t="s">
        <v>25</v>
      </c>
      <c r="C12" s="4">
        <v>4.3951471522675503</v>
      </c>
      <c r="D12" s="4">
        <f t="shared" si="18"/>
        <v>24839.746093749964</v>
      </c>
      <c r="E12" s="13">
        <f t="shared" si="19"/>
        <v>19.49920068359372</v>
      </c>
      <c r="F12" s="13">
        <f t="shared" si="20"/>
        <v>30.448431091789196</v>
      </c>
      <c r="G12" s="13">
        <f t="shared" si="2"/>
        <v>1.576930689718121</v>
      </c>
      <c r="H12" s="4">
        <v>5.4214147043451897</v>
      </c>
      <c r="I12" s="9">
        <f t="shared" si="21"/>
        <v>263884.9999999975</v>
      </c>
      <c r="J12" s="13">
        <f t="shared" si="22"/>
        <v>207.14972499999806</v>
      </c>
      <c r="K12" s="13">
        <f t="shared" si="23"/>
        <v>93.229534820767853</v>
      </c>
      <c r="L12" s="13">
        <f t="shared" si="3"/>
        <v>11.839606210494519</v>
      </c>
      <c r="M12" s="3">
        <v>-540</v>
      </c>
      <c r="O12" s="3"/>
      <c r="P12" s="13">
        <v>0.224</v>
      </c>
      <c r="Q12" s="13">
        <f t="shared" si="0"/>
        <v>285.35031847133757</v>
      </c>
      <c r="R12" s="13">
        <f t="shared" si="1"/>
        <v>52.742642952502962</v>
      </c>
      <c r="S12" s="13">
        <f t="shared" si="4"/>
        <v>3.2553032337519729</v>
      </c>
      <c r="T12" s="43">
        <v>115.3</v>
      </c>
      <c r="U12" s="43">
        <v>136.5</v>
      </c>
      <c r="V12" s="4">
        <v>201187</v>
      </c>
      <c r="W12" s="4">
        <v>258266</v>
      </c>
      <c r="X12" s="4">
        <v>290873</v>
      </c>
      <c r="Y12" s="4">
        <v>218534</v>
      </c>
      <c r="Z12" s="4">
        <v>342085</v>
      </c>
      <c r="AA12" s="4">
        <v>141776</v>
      </c>
      <c r="AB12" s="4">
        <v>60429</v>
      </c>
      <c r="AC12" s="4">
        <v>22296</v>
      </c>
      <c r="AD12" s="13">
        <f t="shared" si="5"/>
        <v>11.411848785942045</v>
      </c>
      <c r="AE12" s="13">
        <f t="shared" si="6"/>
        <v>12.14511023123171</v>
      </c>
      <c r="AF12" s="13">
        <f t="shared" si="7"/>
        <v>12.525828689019713</v>
      </c>
      <c r="AG12" s="13">
        <f t="shared" si="8"/>
        <v>11.241194139592823</v>
      </c>
      <c r="AH12" s="13">
        <f t="shared" si="9"/>
        <v>13.510540847658962</v>
      </c>
      <c r="AI12" s="13">
        <f t="shared" si="10"/>
        <v>10.45479845206189</v>
      </c>
      <c r="AJ12" s="13">
        <f t="shared" si="11"/>
        <v>6.4344836439438522</v>
      </c>
      <c r="AK12" s="15">
        <f t="shared" si="12"/>
        <v>17.502359999999999</v>
      </c>
      <c r="AL12" s="13">
        <f>(1-11.271815/AK12)*100</f>
        <v>35.598313598851803</v>
      </c>
      <c r="AM12" s="13">
        <f t="shared" si="16"/>
        <v>1.9110276020037842</v>
      </c>
      <c r="AN12" s="17">
        <f t="shared" si="14"/>
        <v>124.01160973958333</v>
      </c>
      <c r="AO12" s="55">
        <f t="shared" si="15"/>
        <v>91.158085905806871</v>
      </c>
      <c r="AP12" s="13">
        <f t="shared" si="17"/>
        <v>10.534442115650922</v>
      </c>
      <c r="AQ12" s="10" t="s">
        <v>239</v>
      </c>
      <c r="AR12" s="10" t="s">
        <v>235</v>
      </c>
      <c r="AS12">
        <v>176.17</v>
      </c>
    </row>
    <row r="13" spans="1:47" ht="14">
      <c r="A13" s="7" t="s">
        <v>95</v>
      </c>
      <c r="B13" s="7" t="s">
        <v>25</v>
      </c>
      <c r="C13" s="4">
        <v>4.5153243698631398</v>
      </c>
      <c r="D13" s="4">
        <f t="shared" si="18"/>
        <v>32758.527343749651</v>
      </c>
      <c r="E13" s="13">
        <f t="shared" si="19"/>
        <v>25.715443964843477</v>
      </c>
      <c r="F13" s="13">
        <f t="shared" si="20"/>
        <v>47.261264403830225</v>
      </c>
      <c r="G13" s="13">
        <f t="shared" si="2"/>
        <v>2.7787028656740227</v>
      </c>
      <c r="H13" s="4">
        <v>4.6668373757639197</v>
      </c>
      <c r="I13" s="9">
        <f t="shared" si="21"/>
        <v>46434.136718750044</v>
      </c>
      <c r="J13" s="13">
        <f t="shared" si="22"/>
        <v>36.45079732421879</v>
      </c>
      <c r="K13" s="13">
        <f t="shared" si="23"/>
        <v>61.523475398214543</v>
      </c>
      <c r="L13" s="13">
        <f t="shared" si="3"/>
        <v>4.293832924681821</v>
      </c>
      <c r="M13" s="3">
        <v>-489</v>
      </c>
      <c r="O13" s="3"/>
      <c r="P13" s="13">
        <v>0.24</v>
      </c>
      <c r="Q13" s="13">
        <f t="shared" si="0"/>
        <v>305.73248407643308</v>
      </c>
      <c r="R13" s="13">
        <f t="shared" si="1"/>
        <v>49.367117449110317</v>
      </c>
      <c r="S13" s="13">
        <f t="shared" si="4"/>
        <v>2.9556709999775412</v>
      </c>
      <c r="T13" s="43">
        <v>17</v>
      </c>
      <c r="U13" s="43">
        <v>189</v>
      </c>
      <c r="V13" s="4">
        <v>183150</v>
      </c>
      <c r="W13" s="4">
        <v>181528</v>
      </c>
      <c r="X13" s="4">
        <v>232125</v>
      </c>
      <c r="Y13" s="4">
        <v>219332</v>
      </c>
      <c r="Z13" s="4">
        <v>238208</v>
      </c>
      <c r="AA13" s="4">
        <v>193073</v>
      </c>
      <c r="AB13" s="4">
        <v>152235</v>
      </c>
      <c r="AC13" s="4">
        <v>68809</v>
      </c>
      <c r="AD13" s="13">
        <f t="shared" si="5"/>
        <v>11.003918868941172</v>
      </c>
      <c r="AE13" s="13">
        <f t="shared" si="6"/>
        <v>10.613874096489495</v>
      </c>
      <c r="AF13" s="13">
        <f t="shared" si="7"/>
        <v>11.546013754897874</v>
      </c>
      <c r="AG13" s="13">
        <f t="shared" si="8"/>
        <v>11.257023977043428</v>
      </c>
      <c r="AH13" s="13">
        <f t="shared" si="9"/>
        <v>11.938763962125851</v>
      </c>
      <c r="AI13" s="13">
        <f t="shared" si="10"/>
        <v>11.795986707677065</v>
      </c>
      <c r="AJ13" s="13">
        <f t="shared" si="11"/>
        <v>10.447174685051376</v>
      </c>
      <c r="AK13" s="15">
        <f t="shared" si="12"/>
        <v>54.015065</v>
      </c>
      <c r="AL13" s="13">
        <f t="shared" si="13"/>
        <v>79.132090278887929</v>
      </c>
      <c r="AM13" s="13">
        <f t="shared" si="16"/>
        <v>6.8052105079323519</v>
      </c>
      <c r="AN13" s="17">
        <f t="shared" si="14"/>
        <v>137.47094989583334</v>
      </c>
      <c r="AO13" s="55">
        <f t="shared" si="15"/>
        <v>92.02376937941537</v>
      </c>
      <c r="AP13" s="13">
        <f t="shared" si="17"/>
        <v>10.981928002098568</v>
      </c>
      <c r="AQ13" s="10" t="s">
        <v>239</v>
      </c>
      <c r="AR13" s="10" t="s">
        <v>235</v>
      </c>
      <c r="AS13">
        <v>176.17</v>
      </c>
    </row>
    <row r="14" spans="1:47" ht="14">
      <c r="A14" s="7" t="s">
        <v>95</v>
      </c>
      <c r="B14" s="7" t="s">
        <v>25</v>
      </c>
      <c r="C14" s="4">
        <v>4.9482087854596299</v>
      </c>
      <c r="D14" s="4">
        <f t="shared" ref="D14" si="25">POWER(10,C14)</f>
        <v>88758.261153156476</v>
      </c>
      <c r="E14" s="13">
        <f t="shared" ref="E14" si="26">D14*0.785/1000</f>
        <v>69.675235005227833</v>
      </c>
      <c r="F14" s="13">
        <f t="shared" ref="F14" si="27">(1-13.562/E14)*100</f>
        <v>80.53540831404095</v>
      </c>
      <c r="G14" s="13">
        <f t="shared" si="2"/>
        <v>7.1075470216389247</v>
      </c>
      <c r="H14" s="4">
        <v>5.2663406756972204</v>
      </c>
      <c r="I14" s="9">
        <f t="shared" ref="I14" si="28">POWER(10,H14)</f>
        <v>184646.32812499825</v>
      </c>
      <c r="J14" s="13">
        <f t="shared" ref="J14" si="29">I14*0.785/1000</f>
        <v>144.94736757812365</v>
      </c>
      <c r="K14" s="13">
        <f t="shared" ref="K14" si="30">(1-14.025/J14)*100</f>
        <v>90.324074017804563</v>
      </c>
      <c r="L14" s="13">
        <f t="shared" ref="L14" si="31">10*LOG10(J14/13.562)</f>
        <v>10.288865924014829</v>
      </c>
      <c r="M14" s="3">
        <v>-552</v>
      </c>
      <c r="O14" s="3"/>
      <c r="P14" s="13">
        <v>0.08</v>
      </c>
      <c r="Q14" s="13">
        <f t="shared" si="0"/>
        <v>101.9108280254777</v>
      </c>
      <c r="R14" s="13">
        <f t="shared" si="1"/>
        <v>83.12237248303677</v>
      </c>
      <c r="S14" s="13">
        <f t="shared" si="4"/>
        <v>7.7268835471741664</v>
      </c>
      <c r="T14" s="43">
        <v>179</v>
      </c>
      <c r="U14" s="43">
        <v>138</v>
      </c>
      <c r="V14" s="11">
        <v>132958</v>
      </c>
      <c r="W14" s="11">
        <v>171954</v>
      </c>
      <c r="X14" s="11">
        <v>151773</v>
      </c>
      <c r="Y14" s="4">
        <v>125392</v>
      </c>
      <c r="Z14" s="4">
        <v>277843</v>
      </c>
      <c r="AA14" s="4">
        <v>246184</v>
      </c>
      <c r="AB14" s="4">
        <v>122364</v>
      </c>
      <c r="AC14" s="4">
        <v>112678</v>
      </c>
      <c r="AD14" s="13">
        <f t="shared" si="5"/>
        <v>9.6129943757564256</v>
      </c>
      <c r="AE14" s="13">
        <f t="shared" si="6"/>
        <v>10.378560696955239</v>
      </c>
      <c r="AF14" s="13">
        <f t="shared" si="7"/>
        <v>9.7007397737679568</v>
      </c>
      <c r="AG14" s="13">
        <f t="shared" si="8"/>
        <v>8.8287022832995703</v>
      </c>
      <c r="AH14" s="13">
        <f t="shared" si="9"/>
        <v>12.607195130413338</v>
      </c>
      <c r="AI14" s="13">
        <f t="shared" si="10"/>
        <v>12.851369498221484</v>
      </c>
      <c r="AJ14" s="13">
        <f t="shared" si="11"/>
        <v>9.4985662229216032</v>
      </c>
      <c r="AK14" s="15">
        <f t="shared" si="12"/>
        <v>88.452230000000014</v>
      </c>
      <c r="AL14" s="13">
        <f t="shared" ref="AL14" si="32">(1-11.271815/AK14)*100</f>
        <v>87.256607323523667</v>
      </c>
      <c r="AM14" s="13">
        <f t="shared" ref="AM14" si="33">10*LOG10(AK14/11.271815)</f>
        <v>8.9471493428319775</v>
      </c>
      <c r="AN14" s="17">
        <f t="shared" si="14"/>
        <v>142.75151406250001</v>
      </c>
      <c r="AO14" s="55">
        <f t="shared" ref="AO14" si="34">(1-10.965/AN14)*100</f>
        <v>92.318820523893535</v>
      </c>
      <c r="AP14" s="13">
        <f t="shared" ref="AP14" si="35">10*LOG10(AN14/10.96523979)</f>
        <v>11.145625898373765</v>
      </c>
      <c r="AQ14" s="10" t="s">
        <v>239</v>
      </c>
      <c r="AR14" s="10" t="s">
        <v>235</v>
      </c>
      <c r="AS14">
        <v>176.17</v>
      </c>
    </row>
    <row r="15" spans="1:47" ht="13" customHeight="1">
      <c r="A15" s="7" t="s">
        <v>96</v>
      </c>
      <c r="B15" s="7" t="s">
        <v>26</v>
      </c>
      <c r="C15" s="4">
        <v>5.7136317760871904</v>
      </c>
      <c r="D15" s="4">
        <f t="shared" si="18"/>
        <v>517168.15624999703</v>
      </c>
      <c r="E15" s="13">
        <f t="shared" si="19"/>
        <v>405.97700265624769</v>
      </c>
      <c r="F15" s="13">
        <f t="shared" si="20"/>
        <v>96.659416688318345</v>
      </c>
      <c r="G15" s="13">
        <f t="shared" si="2"/>
        <v>14.761776927914532</v>
      </c>
      <c r="H15" s="4">
        <v>5.2289579884316497</v>
      </c>
      <c r="I15" s="9">
        <f t="shared" si="21"/>
        <v>169417.3906249968</v>
      </c>
      <c r="J15" s="13">
        <f t="shared" si="22"/>
        <v>132.99265164062251</v>
      </c>
      <c r="K15" s="13">
        <f t="shared" si="23"/>
        <v>89.454304559699395</v>
      </c>
      <c r="L15" s="13">
        <f t="shared" si="3"/>
        <v>9.9150390513591198</v>
      </c>
      <c r="M15" s="3">
        <v>-512</v>
      </c>
      <c r="N15" s="3">
        <v>-486</v>
      </c>
      <c r="O15" s="3">
        <f t="shared" ref="O15:O22" si="36">N15-M15</f>
        <v>26</v>
      </c>
      <c r="P15" s="13">
        <v>3.7999999999999999E-2</v>
      </c>
      <c r="Q15" s="13">
        <f t="shared" si="0"/>
        <v>48.407643312101911</v>
      </c>
      <c r="R15" s="13">
        <f t="shared" si="1"/>
        <v>91.983126929442463</v>
      </c>
      <c r="S15" s="13">
        <f t="shared" si="4"/>
        <v>10.959947450925497</v>
      </c>
      <c r="T15" s="43">
        <v>20.2</v>
      </c>
      <c r="U15" s="43">
        <v>190.8</v>
      </c>
      <c r="V15" s="4">
        <v>192519</v>
      </c>
      <c r="W15" s="4">
        <v>336518</v>
      </c>
      <c r="X15" s="4">
        <v>270593</v>
      </c>
      <c r="Y15" s="4">
        <v>254478</v>
      </c>
      <c r="Z15" s="4">
        <v>326876</v>
      </c>
      <c r="AA15" s="4">
        <v>371891</v>
      </c>
      <c r="AB15" s="4">
        <v>492523</v>
      </c>
      <c r="AC15" s="4">
        <v>503997</v>
      </c>
      <c r="AD15" s="13">
        <f t="shared" si="5"/>
        <v>11.220585610521582</v>
      </c>
      <c r="AE15" s="13">
        <f t="shared" si="6"/>
        <v>13.294520859907113</v>
      </c>
      <c r="AF15" s="13">
        <f t="shared" si="7"/>
        <v>12.211960163372769</v>
      </c>
      <c r="AG15" s="13">
        <f t="shared" si="8"/>
        <v>11.902506418005405</v>
      </c>
      <c r="AH15" s="13">
        <f t="shared" si="9"/>
        <v>13.313030882688331</v>
      </c>
      <c r="AI15" s="13">
        <f t="shared" si="10"/>
        <v>14.642927942753282</v>
      </c>
      <c r="AJ15" s="13">
        <f t="shared" si="11"/>
        <v>15.546294730746332</v>
      </c>
      <c r="AK15" s="15">
        <f t="shared" si="12"/>
        <v>395.63764500000002</v>
      </c>
      <c r="AL15" s="13">
        <f t="shared" si="13"/>
        <v>97.150975105010545</v>
      </c>
      <c r="AM15" s="13">
        <f t="shared" si="16"/>
        <v>15.453037558467603</v>
      </c>
      <c r="AN15" s="17">
        <f t="shared" si="14"/>
        <v>302.53521401041667</v>
      </c>
      <c r="AO15" s="13">
        <f t="shared" si="15"/>
        <v>96.375628524478984</v>
      </c>
      <c r="AP15" s="13">
        <f t="shared" si="17"/>
        <v>14.407577988920677</v>
      </c>
      <c r="AQ15" s="10" t="s">
        <v>238</v>
      </c>
      <c r="AR15" s="10" t="s">
        <v>235</v>
      </c>
      <c r="AS15">
        <v>150.19999999999999</v>
      </c>
    </row>
    <row r="16" spans="1:47" ht="14">
      <c r="A16" s="7" t="s">
        <v>96</v>
      </c>
      <c r="B16" s="7" t="s">
        <v>26</v>
      </c>
      <c r="C16" s="4">
        <v>5.5196712143661397</v>
      </c>
      <c r="D16" s="4">
        <f t="shared" si="18"/>
        <v>330880.53124999494</v>
      </c>
      <c r="E16" s="13">
        <f t="shared" si="19"/>
        <v>259.74121703124604</v>
      </c>
      <c r="F16" s="13">
        <f t="shared" si="20"/>
        <v>94.778649243655252</v>
      </c>
      <c r="G16" s="13">
        <f t="shared" si="2"/>
        <v>12.822171310704018</v>
      </c>
      <c r="H16" s="4">
        <v>4.97982477105037</v>
      </c>
      <c r="I16" s="9">
        <f t="shared" si="21"/>
        <v>95460.734374999287</v>
      </c>
      <c r="J16" s="13">
        <f t="shared" si="22"/>
        <v>74.936676484374445</v>
      </c>
      <c r="K16" s="13">
        <f t="shared" si="23"/>
        <v>81.284197994923829</v>
      </c>
      <c r="L16" s="13">
        <f t="shared" si="3"/>
        <v>7.4237068775463211</v>
      </c>
      <c r="M16" s="3">
        <v>-528</v>
      </c>
      <c r="N16" s="3">
        <v>-501</v>
      </c>
      <c r="O16" s="3">
        <f t="shared" si="36"/>
        <v>27</v>
      </c>
      <c r="P16" s="13">
        <v>0.06</v>
      </c>
      <c r="Q16" s="13">
        <f t="shared" si="0"/>
        <v>76.43312101910827</v>
      </c>
      <c r="R16" s="13">
        <f t="shared" si="1"/>
        <v>87.341779362277578</v>
      </c>
      <c r="S16" s="13">
        <f t="shared" si="4"/>
        <v>8.9762709132571654</v>
      </c>
      <c r="T16" s="43">
        <v>57</v>
      </c>
      <c r="U16" s="43">
        <v>192</v>
      </c>
      <c r="V16" s="11">
        <v>160023</v>
      </c>
      <c r="W16" s="4">
        <v>242364</v>
      </c>
      <c r="X16" s="4">
        <v>235742</v>
      </c>
      <c r="Y16" s="4">
        <v>293099</v>
      </c>
      <c r="Z16" s="4">
        <v>273050</v>
      </c>
      <c r="AA16" s="4">
        <v>325906</v>
      </c>
      <c r="AB16" s="4">
        <v>342367</v>
      </c>
      <c r="AC16" s="4">
        <v>334770</v>
      </c>
      <c r="AD16" s="13">
        <f t="shared" si="5"/>
        <v>10.417673718945377</v>
      </c>
      <c r="AE16" s="13">
        <f t="shared" si="6"/>
        <v>11.86911898370214</v>
      </c>
      <c r="AF16" s="13">
        <f t="shared" si="7"/>
        <v>11.613164224426999</v>
      </c>
      <c r="AG16" s="13">
        <f t="shared" si="8"/>
        <v>12.516147356140007</v>
      </c>
      <c r="AH16" s="13">
        <f t="shared" si="9"/>
        <v>12.531622343055119</v>
      </c>
      <c r="AI16" s="13">
        <f t="shared" si="10"/>
        <v>14.069694819875016</v>
      </c>
      <c r="AJ16" s="13">
        <f t="shared" si="11"/>
        <v>13.966948542770051</v>
      </c>
      <c r="AK16" s="15">
        <f t="shared" si="12"/>
        <v>262.79444999999998</v>
      </c>
      <c r="AL16" s="13">
        <f t="shared" si="13"/>
        <v>95.71078651014129</v>
      </c>
      <c r="AM16" s="13">
        <f t="shared" si="16"/>
        <v>13.676223367965768</v>
      </c>
      <c r="AN16" s="17">
        <f t="shared" si="14"/>
        <v>238.32573015624999</v>
      </c>
      <c r="AO16" s="13">
        <f t="shared" si="15"/>
        <v>95.399153925675094</v>
      </c>
      <c r="AP16" s="13">
        <f t="shared" si="17"/>
        <v>13.37152798886336</v>
      </c>
      <c r="AQ16" s="10" t="s">
        <v>238</v>
      </c>
      <c r="AR16" s="10" t="s">
        <v>235</v>
      </c>
      <c r="AS16">
        <v>150.19999999999999</v>
      </c>
    </row>
    <row r="17" spans="1:45" ht="14">
      <c r="A17" s="7" t="s">
        <v>96</v>
      </c>
      <c r="B17" s="7" t="s">
        <v>26</v>
      </c>
      <c r="C17" s="4">
        <v>5.2175478910133304</v>
      </c>
      <c r="D17" s="4">
        <f t="shared" si="18"/>
        <v>165024.29687499924</v>
      </c>
      <c r="E17" s="13">
        <f t="shared" si="19"/>
        <v>129.54407304687442</v>
      </c>
      <c r="F17" s="13">
        <f t="shared" si="20"/>
        <v>89.530976075537865</v>
      </c>
      <c r="G17" s="13">
        <f t="shared" si="2"/>
        <v>9.8009380771759265</v>
      </c>
      <c r="H17" s="4">
        <v>4.5928868686278301</v>
      </c>
      <c r="I17" s="9">
        <f t="shared" si="21"/>
        <v>39163.984374999825</v>
      </c>
      <c r="J17" s="13">
        <f t="shared" si="22"/>
        <v>30.743727734374865</v>
      </c>
      <c r="K17" s="13">
        <f t="shared" si="23"/>
        <v>54.380938703413939</v>
      </c>
      <c r="L17" s="13">
        <f t="shared" si="3"/>
        <v>3.5543278533209222</v>
      </c>
      <c r="M17" s="3">
        <v>-530</v>
      </c>
      <c r="N17" s="3">
        <v>-495</v>
      </c>
      <c r="O17" s="3">
        <f t="shared" si="36"/>
        <v>35</v>
      </c>
      <c r="P17" s="13">
        <v>8.7999999999999995E-2</v>
      </c>
      <c r="Q17" s="13">
        <f t="shared" si="0"/>
        <v>112.10191082802547</v>
      </c>
      <c r="R17" s="13">
        <f t="shared" si="1"/>
        <v>81.434609731340444</v>
      </c>
      <c r="S17" s="13">
        <f t="shared" si="4"/>
        <v>7.3129566955919145</v>
      </c>
      <c r="T17" s="43">
        <v>23.5</v>
      </c>
      <c r="U17" s="43">
        <v>182.2</v>
      </c>
      <c r="V17" s="4">
        <v>24650</v>
      </c>
      <c r="W17" s="4">
        <v>38676</v>
      </c>
      <c r="X17" s="4">
        <v>101588</v>
      </c>
      <c r="Y17" s="4">
        <v>47289</v>
      </c>
      <c r="Z17" s="4">
        <v>80569</v>
      </c>
      <c r="AA17" s="4">
        <v>88940</v>
      </c>
      <c r="AB17" s="4">
        <v>161005</v>
      </c>
      <c r="AC17" s="4">
        <v>128876</v>
      </c>
      <c r="AD17" s="13">
        <f t="shared" si="5"/>
        <v>2.2940188750680228</v>
      </c>
      <c r="AE17" s="13">
        <f t="shared" si="6"/>
        <v>3.8988533840642283</v>
      </c>
      <c r="AF17" s="13">
        <f t="shared" si="7"/>
        <v>7.957218690365556</v>
      </c>
      <c r="AG17" s="13">
        <f t="shared" si="8"/>
        <v>4.5936052918134216</v>
      </c>
      <c r="AH17" s="13">
        <f t="shared" si="9"/>
        <v>7.2308802676923509</v>
      </c>
      <c r="AI17" s="13">
        <f t="shared" si="10"/>
        <v>8.4297425110626172</v>
      </c>
      <c r="AJ17" s="13">
        <f t="shared" si="11"/>
        <v>10.690423201705062</v>
      </c>
      <c r="AK17" s="15">
        <f t="shared" si="12"/>
        <v>101.16766</v>
      </c>
      <c r="AL17" s="13">
        <f t="shared" si="13"/>
        <v>88.858282379962134</v>
      </c>
      <c r="AM17" s="13">
        <f t="shared" si="16"/>
        <v>9.5304785266291674</v>
      </c>
      <c r="AN17" s="17">
        <f t="shared" si="14"/>
        <v>81.123012083333336</v>
      </c>
      <c r="AO17" s="13">
        <f t="shared" si="15"/>
        <v>86.483490049979608</v>
      </c>
      <c r="AP17" s="13">
        <f t="shared" si="17"/>
        <v>8.6912593421350497</v>
      </c>
      <c r="AQ17" s="10" t="s">
        <v>238</v>
      </c>
      <c r="AR17" s="10" t="s">
        <v>235</v>
      </c>
      <c r="AS17">
        <v>150.19999999999999</v>
      </c>
    </row>
    <row r="18" spans="1:45" ht="13" customHeight="1">
      <c r="A18" s="7" t="s">
        <v>156</v>
      </c>
      <c r="B18" s="7" t="s">
        <v>28</v>
      </c>
      <c r="D18" s="4"/>
      <c r="E18" s="13"/>
      <c r="F18" s="13"/>
      <c r="G18" s="13"/>
      <c r="H18" s="4">
        <v>4.2904429623699496</v>
      </c>
      <c r="I18" s="9">
        <f t="shared" si="21"/>
        <v>19518.343749999938</v>
      </c>
      <c r="J18" s="13">
        <f t="shared" si="22"/>
        <v>15.321899843749952</v>
      </c>
      <c r="K18" s="13">
        <f t="shared" si="23"/>
        <v>8.4643540094603722</v>
      </c>
      <c r="L18" s="13">
        <f t="shared" si="3"/>
        <v>0.52988879074211803</v>
      </c>
      <c r="M18" s="3">
        <v>-582</v>
      </c>
      <c r="N18" s="3">
        <v>-483</v>
      </c>
      <c r="O18" s="3">
        <f t="shared" si="36"/>
        <v>99</v>
      </c>
      <c r="P18" s="13">
        <v>0.40799999999999997</v>
      </c>
      <c r="Q18" s="13">
        <f t="shared" si="0"/>
        <v>519.74522292993629</v>
      </c>
      <c r="R18" s="13">
        <f t="shared" si="1"/>
        <v>13.924099663487532</v>
      </c>
      <c r="S18" s="13">
        <f t="shared" si="4"/>
        <v>0.65118178619480116</v>
      </c>
      <c r="T18" s="43">
        <v>169.8</v>
      </c>
      <c r="U18" s="43">
        <v>140.4</v>
      </c>
      <c r="V18" s="4">
        <v>19642</v>
      </c>
      <c r="W18" s="4">
        <v>21768</v>
      </c>
      <c r="X18" s="4">
        <v>20859</v>
      </c>
      <c r="Y18" s="4">
        <v>19639</v>
      </c>
      <c r="Z18" s="4">
        <v>23242</v>
      </c>
      <c r="AA18" s="4">
        <v>13702</v>
      </c>
      <c r="AB18" s="4">
        <v>17493</v>
      </c>
      <c r="AC18" s="4">
        <v>10673</v>
      </c>
      <c r="AD18" s="13">
        <f t="shared" si="5"/>
        <v>1.3077067060015137</v>
      </c>
      <c r="AE18" s="13">
        <f t="shared" si="6"/>
        <v>1.402623156181648</v>
      </c>
      <c r="AF18" s="13">
        <f t="shared" si="7"/>
        <v>1.0817294284722885</v>
      </c>
      <c r="AG18" s="13">
        <f t="shared" si="8"/>
        <v>0.77719769040408881</v>
      </c>
      <c r="AH18" s="13">
        <f t="shared" si="9"/>
        <v>1.8319355028439483</v>
      </c>
      <c r="AI18" s="13">
        <f t="shared" si="10"/>
        <v>0.3066108917671036</v>
      </c>
      <c r="AJ18" s="13">
        <f t="shared" si="11"/>
        <v>1.0506725308252032</v>
      </c>
      <c r="AK18" s="15">
        <f t="shared" si="12"/>
        <v>8.378305000000001</v>
      </c>
      <c r="AL18" s="13">
        <f t="shared" si="13"/>
        <v>-34.535744401761434</v>
      </c>
      <c r="AM18" s="13">
        <f t="shared" si="16"/>
        <v>-1.2883768607859176</v>
      </c>
      <c r="AN18" s="17">
        <f t="shared" si="14"/>
        <v>13.251830312499999</v>
      </c>
      <c r="AO18" s="13">
        <f t="shared" si="15"/>
        <v>17.256712911143378</v>
      </c>
      <c r="AP18" s="13">
        <f t="shared" si="17"/>
        <v>0.82257732822636376</v>
      </c>
      <c r="AQ18" s="10" t="s">
        <v>240</v>
      </c>
      <c r="AR18" s="10" t="s">
        <v>236</v>
      </c>
      <c r="AS18">
        <v>136.08000000000001</v>
      </c>
    </row>
    <row r="19" spans="1:45" ht="14">
      <c r="A19" s="7" t="s">
        <v>156</v>
      </c>
      <c r="B19" s="7" t="s">
        <v>28</v>
      </c>
      <c r="C19" s="4">
        <v>4.2408546504302</v>
      </c>
      <c r="D19" s="4">
        <f>POWER(10,C19)</f>
        <v>17412.240234374687</v>
      </c>
      <c r="E19" s="13">
        <f>D19*0.785/1000</f>
        <v>13.668608583984131</v>
      </c>
      <c r="F19" s="13">
        <f>(1-13.562/E19)*100</f>
        <v>0.77995198508389318</v>
      </c>
      <c r="G19" s="13">
        <f t="shared" si="2"/>
        <v>3.4005671344626523E-2</v>
      </c>
      <c r="H19" s="4">
        <v>4.4174415580476598</v>
      </c>
      <c r="I19" s="9">
        <f t="shared" si="21"/>
        <v>26148.185546874516</v>
      </c>
      <c r="J19" s="13">
        <f t="shared" si="22"/>
        <v>20.526325654296496</v>
      </c>
      <c r="K19" s="13">
        <f t="shared" si="23"/>
        <v>31.673109760565755</v>
      </c>
      <c r="L19" s="13">
        <f t="shared" si="3"/>
        <v>1.7998747475192198</v>
      </c>
      <c r="M19" s="3">
        <v>-593</v>
      </c>
      <c r="N19" s="3">
        <v>-481</v>
      </c>
      <c r="O19" s="3">
        <f t="shared" si="36"/>
        <v>112</v>
      </c>
      <c r="P19" s="13">
        <v>0.35499999999999998</v>
      </c>
      <c r="Q19" s="13">
        <f t="shared" si="0"/>
        <v>452.22929936305729</v>
      </c>
      <c r="R19" s="13">
        <f t="shared" si="1"/>
        <v>25.105527893475678</v>
      </c>
      <c r="S19" s="13">
        <f t="shared" si="4"/>
        <v>1.2554998865426596</v>
      </c>
      <c r="T19" s="43">
        <v>197.1</v>
      </c>
      <c r="U19" s="43">
        <v>157</v>
      </c>
      <c r="V19" s="4">
        <v>22414</v>
      </c>
      <c r="W19" s="4">
        <v>27478</v>
      </c>
      <c r="X19" s="4">
        <v>21453</v>
      </c>
      <c r="Y19" s="4">
        <v>24116</v>
      </c>
      <c r="Z19" s="4">
        <v>19488</v>
      </c>
      <c r="AA19" s="4">
        <v>16685</v>
      </c>
      <c r="AB19" s="4">
        <v>13192</v>
      </c>
      <c r="AC19" s="4">
        <v>15674</v>
      </c>
      <c r="AD19" s="13">
        <f t="shared" si="5"/>
        <v>1.881043314910912</v>
      </c>
      <c r="AE19" s="13">
        <f t="shared" si="6"/>
        <v>2.4142890604280525</v>
      </c>
      <c r="AF19" s="13">
        <f t="shared" si="7"/>
        <v>1.2036749150248265</v>
      </c>
      <c r="AG19" s="13">
        <f t="shared" si="8"/>
        <v>1.6690567409942516</v>
      </c>
      <c r="AH19" s="13">
        <f t="shared" si="9"/>
        <v>1.0668732438673112</v>
      </c>
      <c r="AI19" s="13">
        <f t="shared" si="10"/>
        <v>1.1620333698415732</v>
      </c>
      <c r="AJ19" s="13">
        <f t="shared" si="11"/>
        <v>-0.17486400421724191</v>
      </c>
      <c r="AK19" s="15">
        <f t="shared" si="12"/>
        <v>12.30409</v>
      </c>
      <c r="AL19" s="13">
        <f t="shared" si="13"/>
        <v>8.3896899323720788</v>
      </c>
      <c r="AM19" s="13">
        <f t="shared" si="16"/>
        <v>0.38055646927033998</v>
      </c>
      <c r="AN19" s="17">
        <f t="shared" si="14"/>
        <v>13.406393541666667</v>
      </c>
      <c r="AO19" s="13">
        <f t="shared" si="15"/>
        <v>18.210665933973136</v>
      </c>
      <c r="AP19" s="13">
        <f t="shared" si="17"/>
        <v>0.87293830507922432</v>
      </c>
      <c r="AQ19" s="10" t="s">
        <v>240</v>
      </c>
      <c r="AR19" s="10" t="s">
        <v>236</v>
      </c>
      <c r="AS19">
        <v>82.03</v>
      </c>
    </row>
    <row r="20" spans="1:45" ht="14">
      <c r="A20" s="7" t="s">
        <v>156</v>
      </c>
      <c r="B20" s="7" t="s">
        <v>28</v>
      </c>
      <c r="C20" s="4">
        <v>4.3186978214044096</v>
      </c>
      <c r="D20" s="4">
        <f>POWER(10,C20)</f>
        <v>20830.410156249844</v>
      </c>
      <c r="E20" s="13">
        <f>D20*0.785/1000</f>
        <v>16.351871972656127</v>
      </c>
      <c r="F20" s="13">
        <f>(1-13.562/E20)*100</f>
        <v>17.061483708540514</v>
      </c>
      <c r="G20" s="13">
        <f t="shared" si="2"/>
        <v>0.81243738108671815</v>
      </c>
      <c r="H20" s="4">
        <v>4.1791004007806301</v>
      </c>
      <c r="I20" s="9">
        <f t="shared" si="21"/>
        <v>15104.292968749964</v>
      </c>
      <c r="J20" s="13">
        <f t="shared" si="22"/>
        <v>11.856869980468723</v>
      </c>
      <c r="K20" s="13">
        <f t="shared" si="23"/>
        <v>-18.285854724752305</v>
      </c>
      <c r="L20" s="13">
        <f t="shared" si="3"/>
        <v>-0.58353682515107475</v>
      </c>
      <c r="M20" s="3">
        <v>-537</v>
      </c>
      <c r="N20" s="3">
        <v>-455</v>
      </c>
      <c r="O20" s="3">
        <f t="shared" si="36"/>
        <v>82</v>
      </c>
      <c r="P20" s="13">
        <v>0.246</v>
      </c>
      <c r="Q20" s="13">
        <f t="shared" si="0"/>
        <v>313.37579617834393</v>
      </c>
      <c r="R20" s="13">
        <f t="shared" si="1"/>
        <v>48.101295385338069</v>
      </c>
      <c r="S20" s="13">
        <f t="shared" si="4"/>
        <v>2.8484323460598091</v>
      </c>
      <c r="T20" s="43">
        <v>147.80000000000001</v>
      </c>
      <c r="U20" s="43">
        <v>138.30000000000001</v>
      </c>
      <c r="V20" s="4">
        <v>14765</v>
      </c>
      <c r="W20" s="4">
        <v>17172</v>
      </c>
      <c r="X20" s="4">
        <v>18116</v>
      </c>
      <c r="Y20" s="4">
        <v>19928</v>
      </c>
      <c r="Z20" s="4">
        <v>28318</v>
      </c>
      <c r="AA20" s="4">
        <v>21260</v>
      </c>
      <c r="AB20" s="4">
        <v>25500</v>
      </c>
      <c r="AC20" s="4">
        <v>20560</v>
      </c>
      <c r="AD20" s="13">
        <f t="shared" si="5"/>
        <v>6.8184151946507149E-2</v>
      </c>
      <c r="AE20" s="13">
        <f t="shared" si="6"/>
        <v>0.37264666653864709</v>
      </c>
      <c r="AF20" s="13">
        <f t="shared" si="7"/>
        <v>0.46941770752870249</v>
      </c>
      <c r="AG20" s="13">
        <f t="shared" si="8"/>
        <v>0.84064113434560284</v>
      </c>
      <c r="AH20" s="13">
        <f t="shared" si="9"/>
        <v>2.6898263085437311</v>
      </c>
      <c r="AI20" s="13">
        <f t="shared" si="10"/>
        <v>2.2144038618062374</v>
      </c>
      <c r="AJ20" s="13">
        <f t="shared" si="11"/>
        <v>2.6874313737576863</v>
      </c>
      <c r="AK20" s="15">
        <f t="shared" si="12"/>
        <v>16.139600000000002</v>
      </c>
      <c r="AL20" s="13">
        <f t="shared" si="13"/>
        <v>30.160505836575879</v>
      </c>
      <c r="AM20" s="13">
        <f t="shared" si="16"/>
        <v>1.5589891481836884</v>
      </c>
      <c r="AN20" s="17">
        <f t="shared" si="14"/>
        <v>17.800308385416667</v>
      </c>
      <c r="AO20" s="13">
        <f t="shared" si="15"/>
        <v>38.399943626912993</v>
      </c>
      <c r="AP20" s="13">
        <f t="shared" si="17"/>
        <v>2.1040939305205422</v>
      </c>
      <c r="AQ20" s="10" t="s">
        <v>240</v>
      </c>
      <c r="AR20" s="10" t="s">
        <v>236</v>
      </c>
      <c r="AS20">
        <v>82.03</v>
      </c>
    </row>
    <row r="21" spans="1:45" ht="14">
      <c r="A21" s="7" t="s">
        <v>156</v>
      </c>
      <c r="B21" s="7" t="s">
        <v>28</v>
      </c>
      <c r="C21" s="4">
        <v>4.3587318991087303</v>
      </c>
      <c r="D21" s="4">
        <f>POWER(10,C21)</f>
        <v>22841.882812499571</v>
      </c>
      <c r="E21" s="13">
        <f>D21*0.785/1000</f>
        <v>17.930878007812165</v>
      </c>
      <c r="F21" s="13">
        <f>(1-13.562/E21)*100</f>
        <v>24.365109203847812</v>
      </c>
      <c r="G21" s="13">
        <f t="shared" si="2"/>
        <v>1.2127781581299257</v>
      </c>
      <c r="H21" s="4">
        <v>4.2733458113667204</v>
      </c>
      <c r="I21" s="9">
        <f t="shared" si="21"/>
        <v>18764.880859374774</v>
      </c>
      <c r="J21" s="13">
        <f t="shared" si="22"/>
        <v>14.730431474609199</v>
      </c>
      <c r="K21" s="13">
        <f t="shared" si="23"/>
        <v>4.7889396575052761</v>
      </c>
      <c r="L21" s="13">
        <f t="shared" si="3"/>
        <v>0.3589172807098282</v>
      </c>
      <c r="M21" s="3">
        <v>-541</v>
      </c>
      <c r="N21" s="3">
        <v>-474</v>
      </c>
      <c r="O21" s="3">
        <f t="shared" si="36"/>
        <v>67</v>
      </c>
      <c r="P21" s="13">
        <v>0.23499999999999999</v>
      </c>
      <c r="Q21" s="13">
        <f t="shared" si="0"/>
        <v>299.36305732484072</v>
      </c>
      <c r="R21" s="13">
        <f t="shared" si="1"/>
        <v>50.421969168920519</v>
      </c>
      <c r="S21" s="13">
        <f t="shared" si="4"/>
        <v>3.0471047943762386</v>
      </c>
      <c r="T21" s="43">
        <v>130.30000000000001</v>
      </c>
      <c r="U21" s="43">
        <v>127.2</v>
      </c>
      <c r="V21" s="4">
        <v>25544</v>
      </c>
      <c r="W21" s="4">
        <v>23679</v>
      </c>
      <c r="X21" s="4">
        <v>22670</v>
      </c>
      <c r="Y21" s="4">
        <v>23941</v>
      </c>
      <c r="Z21" s="4">
        <v>26064</v>
      </c>
      <c r="AA21" s="4">
        <v>17282</v>
      </c>
      <c r="AB21" s="4">
        <v>17433</v>
      </c>
      <c r="AC21" s="4">
        <v>20581</v>
      </c>
      <c r="AD21" s="13">
        <f t="shared" si="5"/>
        <v>2.4487386942494194</v>
      </c>
      <c r="AE21" s="13">
        <f t="shared" si="6"/>
        <v>1.7680714437149132</v>
      </c>
      <c r="AF21" s="13">
        <f t="shared" si="7"/>
        <v>1.4433097886846804</v>
      </c>
      <c r="AG21" s="13">
        <f t="shared" si="8"/>
        <v>1.6374268555343094</v>
      </c>
      <c r="AH21" s="13">
        <f t="shared" si="9"/>
        <v>2.3296112039838395</v>
      </c>
      <c r="AI21" s="13">
        <f t="shared" si="10"/>
        <v>1.3147112679259296</v>
      </c>
      <c r="AJ21" s="13">
        <f t="shared" si="11"/>
        <v>1.0357508710024916</v>
      </c>
      <c r="AK21" s="15">
        <f t="shared" si="12"/>
        <v>16.156085000000001</v>
      </c>
      <c r="AL21" s="13">
        <f t="shared" si="13"/>
        <v>30.231767163889025</v>
      </c>
      <c r="AM21" s="13">
        <f t="shared" si="16"/>
        <v>1.5634227715336566</v>
      </c>
      <c r="AN21" s="17">
        <f t="shared" si="14"/>
        <v>15.766013593749999</v>
      </c>
      <c r="AO21" s="13">
        <f t="shared" si="15"/>
        <v>30.451664684934865</v>
      </c>
      <c r="AP21" s="13">
        <f t="shared" si="17"/>
        <v>1.5770376333007481</v>
      </c>
      <c r="AQ21" s="10" t="s">
        <v>240</v>
      </c>
      <c r="AR21" s="10" t="s">
        <v>236</v>
      </c>
      <c r="AS21">
        <v>82.03</v>
      </c>
    </row>
    <row r="22" spans="1:45" ht="13" customHeight="1">
      <c r="A22" s="7" t="s">
        <v>157</v>
      </c>
      <c r="B22" s="7" t="s">
        <v>27</v>
      </c>
      <c r="C22" s="4"/>
      <c r="D22" s="4"/>
      <c r="E22" s="13"/>
      <c r="F22" s="13"/>
      <c r="G22" s="13"/>
      <c r="H22" s="4">
        <v>5.4574114558310303</v>
      </c>
      <c r="I22" s="9">
        <f t="shared" ref="I22:I33" si="37">POWER(10,H22)</f>
        <v>286689.28124999691</v>
      </c>
      <c r="J22" s="13">
        <f t="shared" ref="J22:J33" si="38">I22*0.785/1000</f>
        <v>225.05108578124759</v>
      </c>
      <c r="K22" s="13">
        <f t="shared" ref="K22:K33" si="39">(1-14.025/J22)*100</f>
        <v>93.768081610753711</v>
      </c>
      <c r="L22" s="13">
        <f t="shared" si="3"/>
        <v>12.199573725352925</v>
      </c>
      <c r="M22" s="3">
        <v>-567</v>
      </c>
      <c r="N22" s="3">
        <v>-453</v>
      </c>
      <c r="O22" s="3">
        <f t="shared" si="36"/>
        <v>114</v>
      </c>
      <c r="P22" s="13">
        <v>3.1E-2</v>
      </c>
      <c r="Q22" s="13">
        <f t="shared" ref="Q22:Q65" si="40">1000*P22/(0.785)</f>
        <v>39.490445859872608</v>
      </c>
      <c r="R22" s="13">
        <f t="shared" ref="R22:R65" si="41">(1-Q22/603.822)*100</f>
        <v>93.459919337176743</v>
      </c>
      <c r="S22" s="13">
        <f t="shared" si="4"/>
        <v>11.844166478750875</v>
      </c>
      <c r="T22" s="43">
        <v>241.7</v>
      </c>
      <c r="U22" s="43">
        <v>179.6</v>
      </c>
      <c r="V22" s="4">
        <v>525055</v>
      </c>
      <c r="W22" s="4">
        <v>627790</v>
      </c>
      <c r="X22" s="4">
        <v>777562</v>
      </c>
      <c r="Y22" s="4">
        <v>954731</v>
      </c>
      <c r="Z22" s="4">
        <v>1490000</v>
      </c>
      <c r="AA22" s="4">
        <v>1180000</v>
      </c>
      <c r="AB22" s="4">
        <v>1460000</v>
      </c>
      <c r="AC22" s="4">
        <v>1220000</v>
      </c>
      <c r="AD22" s="13">
        <f t="shared" ref="AD22:AD55" si="42">10*LOG10(V22/14535)</f>
        <v>15.577897624336252</v>
      </c>
      <c r="AE22" s="13">
        <f t="shared" ref="AE22:AE55" si="43">10*LOG10(W22/15760)</f>
        <v>16.002581804350683</v>
      </c>
      <c r="AF22" s="13">
        <f t="shared" ref="AF22:AF55" si="44">10*LOG10(X22/16260)</f>
        <v>16.796144869030098</v>
      </c>
      <c r="AG22" s="13">
        <f t="shared" ref="AG22:AG55" si="45">10*LOG10(Y22/16421)</f>
        <v>17.644814231892109</v>
      </c>
      <c r="AH22" s="13">
        <f t="shared" ref="AH22:AH55" si="46">10*LOG10(Z22/15243.33333)</f>
        <v>19.901063218462237</v>
      </c>
      <c r="AI22" s="13">
        <f t="shared" ref="AI22:AI55" si="47">10*LOG10(AA22/12768)</f>
        <v>19.657591332994713</v>
      </c>
      <c r="AJ22" s="13">
        <f t="shared" ref="AJ22:AJ55" si="48">10*LOG10(AB22/13734)</f>
        <v>20.265558127262505</v>
      </c>
      <c r="AK22" s="15">
        <f t="shared" si="12"/>
        <v>957.7</v>
      </c>
      <c r="AL22" s="13">
        <f t="shared" ref="AL22:AL65" si="49">(1-11.271815/AK22)*100</f>
        <v>98.82303278688525</v>
      </c>
      <c r="AM22" s="13">
        <f t="shared" si="16"/>
        <v>19.292356351698789</v>
      </c>
      <c r="AN22" s="17">
        <f t="shared" si="14"/>
        <v>964.70384359374998</v>
      </c>
      <c r="AO22" s="13">
        <f t="shared" ref="AO22:AO65" si="50">(1-10.965/AN22)*100</f>
        <v>98.863381744271621</v>
      </c>
      <c r="AP22" s="13">
        <f t="shared" si="17"/>
        <v>19.443758754993773</v>
      </c>
      <c r="AQ22" s="10" t="s">
        <v>241</v>
      </c>
      <c r="AR22" s="10" t="s">
        <v>236</v>
      </c>
      <c r="AS22">
        <v>114.1</v>
      </c>
    </row>
    <row r="23" spans="1:45" ht="14">
      <c r="A23" s="7" t="s">
        <v>157</v>
      </c>
      <c r="B23" s="7" t="s">
        <v>27</v>
      </c>
      <c r="C23" s="4">
        <v>5.1222825537457997</v>
      </c>
      <c r="D23" s="4">
        <f t="shared" ref="D23:D65" si="51">POWER(10,C23)</f>
        <v>132520.34375</v>
      </c>
      <c r="E23" s="13">
        <f t="shared" ref="E23:E65" si="52">D23*0.785/1000</f>
        <v>104.02846984375</v>
      </c>
      <c r="F23" s="13">
        <f t="shared" ref="F23:F65" si="53">(1-13.562/E23)*100</f>
        <v>86.963184193355886</v>
      </c>
      <c r="G23" s="13">
        <f t="shared" si="2"/>
        <v>8.8482847045006192</v>
      </c>
      <c r="H23" s="4">
        <v>5.5786623063147296</v>
      </c>
      <c r="I23" s="9">
        <f t="shared" si="37"/>
        <v>379020.15624999569</v>
      </c>
      <c r="J23" s="13">
        <f t="shared" si="38"/>
        <v>297.53082265624664</v>
      </c>
      <c r="K23" s="13">
        <f t="shared" si="39"/>
        <v>95.286202661361301</v>
      </c>
      <c r="L23" s="13">
        <f t="shared" si="3"/>
        <v>13.412082230189917</v>
      </c>
      <c r="M23" s="3">
        <v>-635</v>
      </c>
      <c r="N23" s="3"/>
      <c r="O23" s="3"/>
      <c r="P23" s="13">
        <v>3.5000000000000003E-2</v>
      </c>
      <c r="Q23" s="13">
        <f t="shared" si="40"/>
        <v>44.585987261146492</v>
      </c>
      <c r="R23" s="13">
        <f t="shared" si="41"/>
        <v>92.616037961328587</v>
      </c>
      <c r="S23" s="13">
        <f t="shared" si="4"/>
        <v>11.317102973590845</v>
      </c>
      <c r="T23" s="43">
        <v>222.8</v>
      </c>
      <c r="U23" s="43">
        <v>135.30000000000001</v>
      </c>
      <c r="V23" s="4">
        <v>692570</v>
      </c>
      <c r="W23" s="4">
        <v>871179</v>
      </c>
      <c r="X23" s="4">
        <v>738751</v>
      </c>
      <c r="Y23" s="11">
        <v>888231</v>
      </c>
      <c r="Z23" s="4">
        <v>1040000</v>
      </c>
      <c r="AA23" s="4">
        <v>1230000</v>
      </c>
      <c r="AB23" s="4">
        <v>1230000</v>
      </c>
      <c r="AC23" s="4">
        <v>1040000</v>
      </c>
      <c r="AD23" s="13">
        <f t="shared" si="42"/>
        <v>16.780486392146514</v>
      </c>
      <c r="AE23" s="13">
        <f t="shared" si="43"/>
        <v>17.425511849371098</v>
      </c>
      <c r="AF23" s="13">
        <f t="shared" si="44"/>
        <v>16.573775405083357</v>
      </c>
      <c r="AG23" s="13">
        <f t="shared" si="45"/>
        <v>17.33126325246581</v>
      </c>
      <c r="AH23" s="13">
        <f t="shared" si="46"/>
        <v>18.339533927327302</v>
      </c>
      <c r="AI23" s="13">
        <f t="shared" si="47"/>
        <v>19.837822374327438</v>
      </c>
      <c r="AJ23" s="13">
        <f t="shared" si="48"/>
        <v>19.521080683812112</v>
      </c>
      <c r="AK23" s="15">
        <f t="shared" ref="AK23:AK54" si="54">AC23*0.785/1000</f>
        <v>816.4</v>
      </c>
      <c r="AL23" s="13">
        <f t="shared" si="49"/>
        <v>98.619326923076926</v>
      </c>
      <c r="AM23" s="13">
        <f t="shared" si="16"/>
        <v>18.599091437939109</v>
      </c>
      <c r="AN23" s="17">
        <f t="shared" ref="AN23:AN54" si="55">(0.785/24000)*(AVERAGE(V23:W23)*0.5+AVERAGE(W23:X23)*1+AVERAGE(X23:Y23)*1+AVERAGE(Y23:Z23)*3+AVERAGE(Z23:AA23)*6+AVERAGE(AA23:AB23)*6+AVERAGE(AB23:AC23)*6)</f>
        <v>847.20273765624995</v>
      </c>
      <c r="AO23" s="13">
        <f t="shared" si="50"/>
        <v>98.705740726200403</v>
      </c>
      <c r="AP23" s="13">
        <f t="shared" si="17"/>
        <v>18.879692171298863</v>
      </c>
      <c r="AQ23" s="10" t="s">
        <v>241</v>
      </c>
      <c r="AR23" s="10" t="s">
        <v>236</v>
      </c>
      <c r="AS23">
        <v>114.1</v>
      </c>
    </row>
    <row r="24" spans="1:45" ht="14">
      <c r="A24" s="7" t="s">
        <v>157</v>
      </c>
      <c r="B24" s="7" t="s">
        <v>27</v>
      </c>
      <c r="C24" s="18">
        <v>5.6156760337214697</v>
      </c>
      <c r="D24" s="4">
        <f t="shared" si="51"/>
        <v>412739.49999999686</v>
      </c>
      <c r="E24" s="13">
        <f t="shared" si="52"/>
        <v>324.00050749999758</v>
      </c>
      <c r="F24" s="13">
        <f t="shared" si="53"/>
        <v>95.814204087319183</v>
      </c>
      <c r="G24" s="13">
        <f t="shared" si="2"/>
        <v>13.782219504257323</v>
      </c>
      <c r="H24" s="18">
        <v>5.4388516931831798</v>
      </c>
      <c r="I24" s="9">
        <f t="shared" si="37"/>
        <v>274695.59374999924</v>
      </c>
      <c r="J24" s="13">
        <f t="shared" si="38"/>
        <v>215.63604109374941</v>
      </c>
      <c r="K24" s="13">
        <f t="shared" si="39"/>
        <v>93.495985212461534</v>
      </c>
      <c r="L24" s="13">
        <f t="shared" si="3"/>
        <v>12.013976098874419</v>
      </c>
      <c r="M24" s="19">
        <v>-513</v>
      </c>
      <c r="N24" s="6">
        <v>-396</v>
      </c>
      <c r="O24" s="3">
        <f t="shared" ref="O24:O65" si="56">N24-M24</f>
        <v>117</v>
      </c>
      <c r="P24" s="49">
        <v>3.7999999999999999E-2</v>
      </c>
      <c r="Q24" s="13">
        <f t="shared" si="40"/>
        <v>48.407643312101911</v>
      </c>
      <c r="R24" s="13">
        <f t="shared" si="41"/>
        <v>91.983126929442463</v>
      </c>
      <c r="S24" s="13">
        <f t="shared" si="4"/>
        <v>10.959947450925497</v>
      </c>
      <c r="T24" s="51">
        <v>226.4</v>
      </c>
      <c r="U24" s="51">
        <v>153.30000000000001</v>
      </c>
      <c r="V24" s="18">
        <v>131459</v>
      </c>
      <c r="W24" s="18">
        <v>122031</v>
      </c>
      <c r="X24" s="18">
        <v>258023</v>
      </c>
      <c r="Y24" s="18">
        <v>64724</v>
      </c>
      <c r="Z24" s="18">
        <v>369412</v>
      </c>
      <c r="AA24" s="18">
        <v>400000</v>
      </c>
      <c r="AB24" s="18">
        <v>403977</v>
      </c>
      <c r="AC24" s="18">
        <v>346915</v>
      </c>
      <c r="AD24" s="13">
        <f t="shared" si="42"/>
        <v>9.5637528820079822</v>
      </c>
      <c r="AE24" s="13">
        <f t="shared" si="43"/>
        <v>8.8891395701915599</v>
      </c>
      <c r="AF24" s="13">
        <f t="shared" si="44"/>
        <v>12.005378791543057</v>
      </c>
      <c r="AG24" s="13">
        <f t="shared" si="45"/>
        <v>5.9566574811982775</v>
      </c>
      <c r="AH24" s="13">
        <f t="shared" si="46"/>
        <v>13.84431052413473</v>
      </c>
      <c r="AI24" s="13">
        <f t="shared" si="47"/>
        <v>14.959371173213082</v>
      </c>
      <c r="AJ24" s="13">
        <f t="shared" si="48"/>
        <v>14.68559596662744</v>
      </c>
      <c r="AK24" s="15">
        <f t="shared" si="54"/>
        <v>272.32827500000002</v>
      </c>
      <c r="AL24" s="13">
        <f t="shared" si="49"/>
        <v>95.860945764812712</v>
      </c>
      <c r="AM24" s="13">
        <f t="shared" si="16"/>
        <v>13.830988828796826</v>
      </c>
      <c r="AN24" s="17">
        <f t="shared" si="55"/>
        <v>262.93640416666665</v>
      </c>
      <c r="AO24" s="13">
        <f t="shared" si="50"/>
        <v>95.829790083746019</v>
      </c>
      <c r="AP24" s="13">
        <f t="shared" si="17"/>
        <v>13.798325860131005</v>
      </c>
      <c r="AQ24" s="10" t="s">
        <v>241</v>
      </c>
      <c r="AR24" s="10" t="s">
        <v>236</v>
      </c>
      <c r="AS24">
        <v>114.1</v>
      </c>
    </row>
    <row r="25" spans="1:45" ht="14">
      <c r="A25" s="7" t="s">
        <v>157</v>
      </c>
      <c r="B25" s="7" t="s">
        <v>27</v>
      </c>
      <c r="C25" s="18">
        <v>5.3657436075433598</v>
      </c>
      <c r="D25" s="4">
        <f t="shared" si="51"/>
        <v>232136.59374999782</v>
      </c>
      <c r="E25" s="13">
        <f t="shared" si="52"/>
        <v>182.2272260937483</v>
      </c>
      <c r="F25" s="13">
        <f t="shared" si="53"/>
        <v>92.557643393516329</v>
      </c>
      <c r="G25" s="13">
        <f t="shared" si="2"/>
        <v>11.282895242476219</v>
      </c>
      <c r="H25" s="18">
        <v>4.9701821754970004</v>
      </c>
      <c r="I25" s="9">
        <f t="shared" si="37"/>
        <v>93364.58593750016</v>
      </c>
      <c r="J25" s="13">
        <f t="shared" si="38"/>
        <v>73.291199960937618</v>
      </c>
      <c r="K25" s="13">
        <f t="shared" si="39"/>
        <v>80.864005491143587</v>
      </c>
      <c r="L25" s="13">
        <f t="shared" si="3"/>
        <v>7.327280922012628</v>
      </c>
      <c r="M25" s="19">
        <v>-571</v>
      </c>
      <c r="N25" s="6">
        <v>-456</v>
      </c>
      <c r="O25" s="3">
        <f t="shared" si="56"/>
        <v>115</v>
      </c>
      <c r="P25" s="49">
        <v>7.4999999999999997E-2</v>
      </c>
      <c r="Q25" s="13">
        <f t="shared" si="40"/>
        <v>95.541401273885342</v>
      </c>
      <c r="R25" s="13">
        <f t="shared" si="41"/>
        <v>84.177224202846972</v>
      </c>
      <c r="S25" s="13">
        <f t="shared" si="4"/>
        <v>8.0071707831766012</v>
      </c>
      <c r="T25" s="51">
        <v>216</v>
      </c>
      <c r="U25" s="51">
        <v>157</v>
      </c>
      <c r="V25" s="18">
        <v>72610</v>
      </c>
      <c r="W25" s="18">
        <v>91775</v>
      </c>
      <c r="X25" s="18">
        <v>126220</v>
      </c>
      <c r="Y25" s="18">
        <v>126534</v>
      </c>
      <c r="Z25" s="18">
        <v>141854</v>
      </c>
      <c r="AA25" s="18">
        <v>227083</v>
      </c>
      <c r="AB25" s="18">
        <v>211892</v>
      </c>
      <c r="AC25" s="18">
        <v>253109</v>
      </c>
      <c r="AD25" s="13">
        <f t="shared" si="42"/>
        <v>6.9858140065074927</v>
      </c>
      <c r="AE25" s="13">
        <f t="shared" si="43"/>
        <v>7.6516818002248783</v>
      </c>
      <c r="AF25" s="13">
        <f t="shared" si="44"/>
        <v>8.9000763458070757</v>
      </c>
      <c r="AG25" s="13">
        <f t="shared" si="45"/>
        <v>8.8680763610470503</v>
      </c>
      <c r="AH25" s="13">
        <f t="shared" si="46"/>
        <v>9.6876163997706435</v>
      </c>
      <c r="AI25" s="13">
        <f t="shared" si="47"/>
        <v>12.500617490614271</v>
      </c>
      <c r="AJ25" s="13">
        <f t="shared" si="48"/>
        <v>11.883175171380175</v>
      </c>
      <c r="AK25" s="15">
        <f t="shared" si="54"/>
        <v>198.69056499999999</v>
      </c>
      <c r="AL25" s="13">
        <f t="shared" si="49"/>
        <v>94.326950049188298</v>
      </c>
      <c r="AM25" s="13">
        <f t="shared" si="16"/>
        <v>12.461833924856441</v>
      </c>
      <c r="AN25" s="17">
        <f t="shared" si="55"/>
        <v>147.11527182291667</v>
      </c>
      <c r="AO25" s="13">
        <f t="shared" si="50"/>
        <v>92.54666095223709</v>
      </c>
      <c r="AP25" s="13">
        <f t="shared" si="17"/>
        <v>11.276396251940335</v>
      </c>
      <c r="AQ25" s="10" t="s">
        <v>241</v>
      </c>
      <c r="AR25" s="10" t="s">
        <v>236</v>
      </c>
      <c r="AS25">
        <v>114.1</v>
      </c>
    </row>
    <row r="26" spans="1:45" ht="13">
      <c r="A26" s="8" t="s">
        <v>97</v>
      </c>
      <c r="B26" s="8" t="s">
        <v>29</v>
      </c>
      <c r="C26" s="4">
        <v>3.96424705850702</v>
      </c>
      <c r="D26" s="4">
        <f t="shared" si="51"/>
        <v>9209.7333984374218</v>
      </c>
      <c r="E26" s="13">
        <f t="shared" si="52"/>
        <v>7.2296407177733766</v>
      </c>
      <c r="F26" s="13">
        <f t="shared" si="53"/>
        <v>-87.588851637663339</v>
      </c>
      <c r="G26" s="13">
        <f t="shared" si="2"/>
        <v>-2.7320702478871759</v>
      </c>
      <c r="H26" s="4">
        <v>3.6726042455082402</v>
      </c>
      <c r="I26" s="9">
        <f t="shared" si="37"/>
        <v>4705.4833984374609</v>
      </c>
      <c r="J26" s="13">
        <f t="shared" si="38"/>
        <v>3.6938044677734068</v>
      </c>
      <c r="K26" s="13">
        <f t="shared" si="39"/>
        <v>-279.68983259295663</v>
      </c>
      <c r="L26" s="13">
        <f t="shared" si="3"/>
        <v>-5.6484983778749758</v>
      </c>
      <c r="M26" s="3">
        <v>-546</v>
      </c>
      <c r="N26" s="3">
        <v>-490</v>
      </c>
      <c r="O26" s="3">
        <f t="shared" si="56"/>
        <v>56</v>
      </c>
      <c r="P26" s="13">
        <v>0.93799999999999994</v>
      </c>
      <c r="Q26" s="13">
        <f t="shared" si="40"/>
        <v>1194.904458598726</v>
      </c>
      <c r="R26" s="13">
        <f t="shared" si="41"/>
        <v>-97.890182636393845</v>
      </c>
      <c r="S26" s="13">
        <f t="shared" si="4"/>
        <v>-2.9642449666970441</v>
      </c>
      <c r="T26" s="43">
        <v>109</v>
      </c>
      <c r="U26" s="43">
        <v>115.1</v>
      </c>
      <c r="V26" s="4">
        <v>4113</v>
      </c>
      <c r="W26" s="4">
        <v>4935</v>
      </c>
      <c r="X26" s="4">
        <v>4739</v>
      </c>
      <c r="Y26" s="4">
        <v>4990</v>
      </c>
      <c r="Z26" s="4">
        <v>5157</v>
      </c>
      <c r="AA26" s="4">
        <v>5444</v>
      </c>
      <c r="AB26" s="4">
        <v>9341</v>
      </c>
      <c r="AC26" s="4">
        <v>8294</v>
      </c>
      <c r="AD26" s="13">
        <f t="shared" si="42"/>
        <v>-5.4825632659727139</v>
      </c>
      <c r="AE26" s="13">
        <f t="shared" si="43"/>
        <v>-5.0426905614788096</v>
      </c>
      <c r="AF26" s="13">
        <f t="shared" si="44"/>
        <v>-5.3543383255864816</v>
      </c>
      <c r="AG26" s="13">
        <f t="shared" si="45"/>
        <v>-5.1729905547049988</v>
      </c>
      <c r="AH26" s="13">
        <f t="shared" si="46"/>
        <v>-4.7068281515933528</v>
      </c>
      <c r="AI26" s="13">
        <f t="shared" si="47"/>
        <v>-3.7020475747535708</v>
      </c>
      <c r="AJ26" s="13">
        <f t="shared" si="48"/>
        <v>-1.6740367097858639</v>
      </c>
      <c r="AK26" s="15">
        <f t="shared" si="54"/>
        <v>6.5107900000000001</v>
      </c>
      <c r="AL26" s="13">
        <f t="shared" si="49"/>
        <v>-73.125150711357605</v>
      </c>
      <c r="AM26" s="13">
        <f t="shared" si="16"/>
        <v>-2.3836016447687021</v>
      </c>
      <c r="AN26" s="17">
        <f t="shared" si="55"/>
        <v>5.110578958333333</v>
      </c>
      <c r="AO26" s="13">
        <f t="shared" si="50"/>
        <v>-114.55494748046932</v>
      </c>
      <c r="AP26" s="13">
        <f t="shared" si="17"/>
        <v>-3.3154803083807085</v>
      </c>
      <c r="AQ26" s="10" t="s">
        <v>240</v>
      </c>
      <c r="AR26" s="10" t="s">
        <v>235</v>
      </c>
      <c r="AS26">
        <v>138.12</v>
      </c>
    </row>
    <row r="27" spans="1:45" ht="13">
      <c r="A27" s="8" t="s">
        <v>97</v>
      </c>
      <c r="B27" s="8" t="s">
        <v>29</v>
      </c>
      <c r="C27" s="4">
        <v>3.6837669539676701</v>
      </c>
      <c r="D27" s="4">
        <f t="shared" si="51"/>
        <v>4827.9965820312482</v>
      </c>
      <c r="E27" s="13">
        <f t="shared" si="52"/>
        <v>3.7899773168945297</v>
      </c>
      <c r="F27" s="13">
        <f t="shared" si="53"/>
        <v>-257.83855326903569</v>
      </c>
      <c r="G27" s="13">
        <f t="shared" si="2"/>
        <v>-5.5368712932806821</v>
      </c>
      <c r="H27" s="4">
        <v>3.7159688828665902</v>
      </c>
      <c r="I27" s="9">
        <f t="shared" si="37"/>
        <v>5199.58740234371</v>
      </c>
      <c r="J27" s="13">
        <f t="shared" si="38"/>
        <v>4.0816761108398119</v>
      </c>
      <c r="K27" s="13">
        <f t="shared" si="39"/>
        <v>-243.60884154314567</v>
      </c>
      <c r="L27" s="13">
        <f t="shared" si="3"/>
        <v>-5.2148520042914734</v>
      </c>
      <c r="M27" s="3">
        <v>-674</v>
      </c>
      <c r="N27" s="3">
        <v>-492</v>
      </c>
      <c r="O27" s="3">
        <f t="shared" si="56"/>
        <v>182</v>
      </c>
      <c r="P27" s="13">
        <v>1.542</v>
      </c>
      <c r="Q27" s="13">
        <f t="shared" si="40"/>
        <v>1964.3312101910826</v>
      </c>
      <c r="R27" s="13">
        <f t="shared" si="41"/>
        <v>-225.31627038946621</v>
      </c>
      <c r="S27" s="13">
        <f t="shared" si="4"/>
        <v>-5.1230603200557816</v>
      </c>
      <c r="T27" s="43">
        <v>185</v>
      </c>
      <c r="U27" s="43">
        <v>120</v>
      </c>
      <c r="V27" s="4">
        <v>3735</v>
      </c>
      <c r="W27" s="4">
        <v>4925</v>
      </c>
      <c r="X27" s="4">
        <v>4762</v>
      </c>
      <c r="Y27" s="4">
        <v>4990</v>
      </c>
      <c r="Z27" s="4">
        <v>5147</v>
      </c>
      <c r="AA27" s="4">
        <v>3700</v>
      </c>
      <c r="AB27" s="4">
        <v>5219</v>
      </c>
      <c r="AC27" s="4">
        <v>4805</v>
      </c>
      <c r="AD27" s="13">
        <f t="shared" si="42"/>
        <v>-5.9012442995502887</v>
      </c>
      <c r="AE27" s="13">
        <f t="shared" si="43"/>
        <v>-5.0514997831990591</v>
      </c>
      <c r="AF27" s="13">
        <f t="shared" si="44"/>
        <v>-5.3333115018918829</v>
      </c>
      <c r="AG27" s="13">
        <f t="shared" si="45"/>
        <v>-5.1729905547049988</v>
      </c>
      <c r="AH27" s="13">
        <f t="shared" si="46"/>
        <v>-4.7152577831588065</v>
      </c>
      <c r="AI27" s="13">
        <f t="shared" si="47"/>
        <v>-5.3792114993965923</v>
      </c>
      <c r="AJ27" s="13">
        <f t="shared" si="48"/>
        <v>-4.202097462027262</v>
      </c>
      <c r="AK27" s="15">
        <f t="shared" si="54"/>
        <v>3.771925</v>
      </c>
      <c r="AL27" s="13">
        <f t="shared" si="49"/>
        <v>-198.83454734651406</v>
      </c>
      <c r="AM27" s="13">
        <f t="shared" si="16"/>
        <v>-4.7543080350030511</v>
      </c>
      <c r="AN27" s="17">
        <f t="shared" si="55"/>
        <v>3.6129625000000001</v>
      </c>
      <c r="AO27" s="13">
        <f t="shared" si="50"/>
        <v>-203.49055657234194</v>
      </c>
      <c r="AP27" s="13">
        <f t="shared" si="17"/>
        <v>-4.8215467943242256</v>
      </c>
      <c r="AQ27" s="10" t="s">
        <v>240</v>
      </c>
      <c r="AR27" s="10" t="s">
        <v>235</v>
      </c>
      <c r="AS27">
        <v>138.12</v>
      </c>
    </row>
    <row r="28" spans="1:45" ht="13">
      <c r="A28" s="8" t="s">
        <v>97</v>
      </c>
      <c r="B28" s="8" t="s">
        <v>29</v>
      </c>
      <c r="C28" s="4">
        <v>3.67471487240641</v>
      </c>
      <c r="D28" s="4">
        <f t="shared" si="51"/>
        <v>4728.4072265624891</v>
      </c>
      <c r="E28" s="13">
        <f t="shared" si="52"/>
        <v>3.7117996728515541</v>
      </c>
      <c r="F28" s="13">
        <f t="shared" si="53"/>
        <v>-265.37532182013274</v>
      </c>
      <c r="G28" s="13">
        <f t="shared" si="2"/>
        <v>-5.6273921088932797</v>
      </c>
      <c r="H28" s="4">
        <v>3.7221914280433301</v>
      </c>
      <c r="I28" s="9">
        <f t="shared" si="37"/>
        <v>5274.6230468749491</v>
      </c>
      <c r="J28" s="13">
        <f t="shared" si="38"/>
        <v>4.1405790917968348</v>
      </c>
      <c r="K28" s="13">
        <f t="shared" si="39"/>
        <v>-238.72073661835907</v>
      </c>
      <c r="L28" s="13">
        <f t="shared" si="3"/>
        <v>-5.1526265525240795</v>
      </c>
      <c r="M28" s="3">
        <v>-650</v>
      </c>
      <c r="N28" s="3">
        <v>-505</v>
      </c>
      <c r="O28" s="3">
        <f t="shared" si="56"/>
        <v>145</v>
      </c>
      <c r="P28" s="13">
        <v>0.88300000000000001</v>
      </c>
      <c r="Q28" s="13">
        <f t="shared" si="40"/>
        <v>1124.84076433121</v>
      </c>
      <c r="R28" s="13">
        <f t="shared" si="41"/>
        <v>-86.286813718481611</v>
      </c>
      <c r="S28" s="13">
        <f t="shared" si="4"/>
        <v>-2.7018236186820843</v>
      </c>
      <c r="T28" s="43">
        <v>111.9</v>
      </c>
      <c r="U28" s="43">
        <v>101.9</v>
      </c>
      <c r="V28" s="4">
        <v>4298</v>
      </c>
      <c r="W28" s="4">
        <v>4778</v>
      </c>
      <c r="X28" s="4">
        <v>4914</v>
      </c>
      <c r="Y28" s="4">
        <v>5060</v>
      </c>
      <c r="Z28" s="4">
        <v>4816</v>
      </c>
      <c r="AA28" s="4">
        <v>3647</v>
      </c>
      <c r="AB28" s="4">
        <v>5063</v>
      </c>
      <c r="AC28" s="4">
        <v>4705</v>
      </c>
      <c r="AD28" s="13">
        <f t="shared" si="42"/>
        <v>-5.2914862495102195</v>
      </c>
      <c r="AE28" s="13">
        <f t="shared" si="43"/>
        <v>-5.1831006773967738</v>
      </c>
      <c r="AF28" s="13">
        <f t="shared" si="44"/>
        <v>-5.1968538911398721</v>
      </c>
      <c r="AG28" s="13">
        <f t="shared" si="45"/>
        <v>-5.1124908425409066</v>
      </c>
      <c r="AH28" s="13">
        <f t="shared" si="46"/>
        <v>-5.0039346831628206</v>
      </c>
      <c r="AI28" s="13">
        <f t="shared" si="47"/>
        <v>-5.441871106928728</v>
      </c>
      <c r="AJ28" s="13">
        <f t="shared" si="48"/>
        <v>-4.3338911567134559</v>
      </c>
      <c r="AK28" s="15">
        <f t="shared" si="54"/>
        <v>3.6934250000000004</v>
      </c>
      <c r="AL28" s="13">
        <f t="shared" si="49"/>
        <v>-205.18597236981932</v>
      </c>
      <c r="AM28" s="13">
        <f t="shared" si="16"/>
        <v>-4.845645677415936</v>
      </c>
      <c r="AN28" s="17">
        <f t="shared" si="55"/>
        <v>3.5239631249999999</v>
      </c>
      <c r="AO28" s="13">
        <f t="shared" si="50"/>
        <v>-211.15535580412751</v>
      </c>
      <c r="AP28" s="13">
        <f t="shared" si="17"/>
        <v>-4.9298677807819189</v>
      </c>
      <c r="AQ28" s="10" t="s">
        <v>240</v>
      </c>
      <c r="AR28" s="10" t="s">
        <v>235</v>
      </c>
      <c r="AS28">
        <v>138.12</v>
      </c>
    </row>
    <row r="29" spans="1:45" ht="13" customHeight="1">
      <c r="A29" s="7" t="s">
        <v>98</v>
      </c>
      <c r="B29" s="7" t="s">
        <v>30</v>
      </c>
      <c r="C29" s="4">
        <v>4.0857347141875104</v>
      </c>
      <c r="D29" s="4">
        <f t="shared" si="51"/>
        <v>12182.452148437484</v>
      </c>
      <c r="E29" s="13">
        <f t="shared" si="52"/>
        <v>9.5632249365234259</v>
      </c>
      <c r="F29" s="13">
        <f t="shared" si="53"/>
        <v>-41.814085625076515</v>
      </c>
      <c r="G29" s="13">
        <f t="shared" si="2"/>
        <v>-1.5171936910822705</v>
      </c>
      <c r="H29" s="4">
        <v>4.58382428706462</v>
      </c>
      <c r="I29" s="9">
        <f t="shared" si="37"/>
        <v>38355.203124999345</v>
      </c>
      <c r="J29" s="13">
        <f t="shared" si="38"/>
        <v>30.108834453124487</v>
      </c>
      <c r="K29" s="13">
        <f t="shared" si="39"/>
        <v>53.418987301434441</v>
      </c>
      <c r="L29" s="13">
        <f t="shared" si="3"/>
        <v>3.4637020376888206</v>
      </c>
      <c r="M29" s="3">
        <v>-534</v>
      </c>
      <c r="N29" s="3">
        <v>-479</v>
      </c>
      <c r="O29" s="3">
        <f t="shared" si="56"/>
        <v>55</v>
      </c>
      <c r="P29" s="13">
        <v>0.372</v>
      </c>
      <c r="Q29" s="13">
        <f t="shared" si="40"/>
        <v>473.8853503184713</v>
      </c>
      <c r="R29" s="13">
        <f t="shared" si="41"/>
        <v>21.519032046120991</v>
      </c>
      <c r="S29" s="13">
        <f t="shared" si="4"/>
        <v>1.0523540182746256</v>
      </c>
      <c r="T29" s="43">
        <v>145</v>
      </c>
      <c r="U29" s="43">
        <v>145</v>
      </c>
      <c r="V29" s="4">
        <v>29200</v>
      </c>
      <c r="W29" s="4">
        <v>13640</v>
      </c>
      <c r="X29" s="4">
        <v>46135</v>
      </c>
      <c r="Y29" s="4">
        <v>28122</v>
      </c>
      <c r="Z29" s="4">
        <v>25557</v>
      </c>
      <c r="AA29" s="4">
        <v>15562</v>
      </c>
      <c r="AB29" s="4">
        <v>15331</v>
      </c>
      <c r="AC29" s="4">
        <v>13293</v>
      </c>
      <c r="AD29" s="13">
        <f t="shared" si="42"/>
        <v>3.0296781534197175</v>
      </c>
      <c r="AE29" s="13">
        <f t="shared" si="43"/>
        <v>-0.627418428330764</v>
      </c>
      <c r="AF29" s="13">
        <f t="shared" si="44"/>
        <v>4.5290998368916799</v>
      </c>
      <c r="AG29" s="13">
        <f t="shared" si="45"/>
        <v>2.3364660280996397</v>
      </c>
      <c r="AH29" s="13">
        <f t="shared" si="46"/>
        <v>2.2442992639793409</v>
      </c>
      <c r="AI29" s="13">
        <f t="shared" si="47"/>
        <v>0.85942536972637806</v>
      </c>
      <c r="AJ29" s="13">
        <f t="shared" si="48"/>
        <v>0.47773440584033633</v>
      </c>
      <c r="AK29" s="15">
        <f t="shared" si="54"/>
        <v>10.435005</v>
      </c>
      <c r="AL29" s="13">
        <f t="shared" si="49"/>
        <v>-8.0192582562250703</v>
      </c>
      <c r="AM29" s="13">
        <f t="shared" si="16"/>
        <v>-0.33501190753594928</v>
      </c>
      <c r="AN29" s="17">
        <f t="shared" si="55"/>
        <v>15.050821354166667</v>
      </c>
      <c r="AO29" s="13">
        <f t="shared" si="50"/>
        <v>27.146833106457336</v>
      </c>
      <c r="AP29" s="13">
        <f t="shared" si="17"/>
        <v>1.3754206756277321</v>
      </c>
      <c r="AQ29" s="10" t="s">
        <v>239</v>
      </c>
      <c r="AR29" s="10" t="s">
        <v>235</v>
      </c>
      <c r="AS29">
        <v>153.13999999999999</v>
      </c>
    </row>
    <row r="30" spans="1:45" ht="14">
      <c r="A30" s="7" t="s">
        <v>98</v>
      </c>
      <c r="B30" s="7" t="s">
        <v>30</v>
      </c>
      <c r="C30" s="4">
        <v>4.1688082082932798</v>
      </c>
      <c r="D30" s="4">
        <f t="shared" si="51"/>
        <v>14750.549804687233</v>
      </c>
      <c r="E30" s="13">
        <f t="shared" si="52"/>
        <v>11.579181596679478</v>
      </c>
      <c r="F30" s="13">
        <f t="shared" si="53"/>
        <v>-17.123994358022053</v>
      </c>
      <c r="G30" s="13">
        <f t="shared" si="2"/>
        <v>-0.68645875002457879</v>
      </c>
      <c r="H30" s="4">
        <v>4.4346220399865004</v>
      </c>
      <c r="I30" s="9">
        <f t="shared" si="37"/>
        <v>27203.328124999465</v>
      </c>
      <c r="J30" s="13">
        <f t="shared" si="38"/>
        <v>21.354612578124584</v>
      </c>
      <c r="K30" s="13">
        <f t="shared" si="39"/>
        <v>34.323322660664665</v>
      </c>
      <c r="L30" s="13">
        <f t="shared" si="3"/>
        <v>1.9716795669076239</v>
      </c>
      <c r="M30" s="3">
        <v>-542</v>
      </c>
      <c r="N30" s="3">
        <v>-497</v>
      </c>
      <c r="O30" s="3">
        <f t="shared" si="56"/>
        <v>45</v>
      </c>
      <c r="P30" s="13">
        <v>0.253</v>
      </c>
      <c r="Q30" s="13">
        <f t="shared" si="40"/>
        <v>322.29299363057322</v>
      </c>
      <c r="R30" s="13">
        <f t="shared" si="41"/>
        <v>46.624502977603797</v>
      </c>
      <c r="S30" s="13">
        <f t="shared" si="4"/>
        <v>2.7265782053354215</v>
      </c>
      <c r="T30" s="43">
        <v>80</v>
      </c>
      <c r="U30" s="43">
        <v>96</v>
      </c>
      <c r="V30" s="4">
        <v>18457</v>
      </c>
      <c r="W30" s="4">
        <v>18509</v>
      </c>
      <c r="X30" s="4">
        <v>38255</v>
      </c>
      <c r="Y30" s="4">
        <v>30718</v>
      </c>
      <c r="Z30" s="4">
        <v>32659</v>
      </c>
      <c r="AA30" s="4">
        <v>14830</v>
      </c>
      <c r="AB30" s="4">
        <v>15473</v>
      </c>
      <c r="AC30" s="4">
        <v>16354</v>
      </c>
      <c r="AD30" s="13">
        <f t="shared" si="42"/>
        <v>1.0374607611295463</v>
      </c>
      <c r="AE30" s="13">
        <f t="shared" si="43"/>
        <v>0.69826742270698083</v>
      </c>
      <c r="AF30" s="13">
        <f t="shared" si="44"/>
        <v>3.7156766504192902</v>
      </c>
      <c r="AG30" s="13">
        <f t="shared" si="45"/>
        <v>2.7199333496482243</v>
      </c>
      <c r="AH30" s="13">
        <f t="shared" si="46"/>
        <v>3.3092293618821951</v>
      </c>
      <c r="AI30" s="13">
        <f t="shared" si="47"/>
        <v>0.65018277021727822</v>
      </c>
      <c r="AJ30" s="13">
        <f t="shared" si="48"/>
        <v>0.51777482479063019</v>
      </c>
      <c r="AK30" s="15">
        <f t="shared" si="54"/>
        <v>12.837890000000002</v>
      </c>
      <c r="AL30" s="13">
        <f t="shared" si="49"/>
        <v>12.198850434144559</v>
      </c>
      <c r="AM30" s="13">
        <f t="shared" si="16"/>
        <v>0.56499797911217597</v>
      </c>
      <c r="AN30" s="17">
        <f t="shared" si="55"/>
        <v>16.224396354166668</v>
      </c>
      <c r="AO30" s="13">
        <f t="shared" si="50"/>
        <v>32.416591898754845</v>
      </c>
      <c r="AP30" s="13">
        <f t="shared" si="17"/>
        <v>1.7015041403354225</v>
      </c>
      <c r="AQ30" s="10" t="s">
        <v>239</v>
      </c>
      <c r="AR30" s="10" t="s">
        <v>235</v>
      </c>
      <c r="AS30">
        <v>153.13999999999999</v>
      </c>
    </row>
    <row r="31" spans="1:45" ht="14">
      <c r="A31" s="7" t="s">
        <v>98</v>
      </c>
      <c r="B31" s="7" t="s">
        <v>30</v>
      </c>
      <c r="C31" s="4">
        <v>4.1709861767263101</v>
      </c>
      <c r="D31" s="4">
        <f t="shared" si="51"/>
        <v>14824.708984374978</v>
      </c>
      <c r="E31" s="13">
        <f t="shared" si="52"/>
        <v>11.637396552734359</v>
      </c>
      <c r="F31" s="13">
        <f t="shared" si="53"/>
        <v>-16.538092850444542</v>
      </c>
      <c r="G31" s="13">
        <f t="shared" si="2"/>
        <v>-0.66467906569427748</v>
      </c>
      <c r="H31" s="4">
        <v>4.5456820130548197</v>
      </c>
      <c r="I31" s="9">
        <f t="shared" si="37"/>
        <v>35130.312500000022</v>
      </c>
      <c r="J31" s="13">
        <f t="shared" si="38"/>
        <v>27.577295312500016</v>
      </c>
      <c r="K31" s="13">
        <f t="shared" si="39"/>
        <v>49.142945886927279</v>
      </c>
      <c r="L31" s="13">
        <f t="shared" si="3"/>
        <v>3.082279297590818</v>
      </c>
      <c r="M31" s="3">
        <v>-494</v>
      </c>
      <c r="N31" s="3">
        <v>-491</v>
      </c>
      <c r="O31" s="3">
        <f t="shared" si="56"/>
        <v>3</v>
      </c>
      <c r="P31" s="13">
        <v>0.42</v>
      </c>
      <c r="Q31" s="13">
        <f t="shared" si="40"/>
        <v>535.03184713375799</v>
      </c>
      <c r="R31" s="13">
        <f t="shared" si="41"/>
        <v>11.392455535943046</v>
      </c>
      <c r="S31" s="13">
        <f t="shared" si="4"/>
        <v>0.52529051311459563</v>
      </c>
      <c r="T31" s="43">
        <v>180</v>
      </c>
      <c r="U31" s="43">
        <v>143</v>
      </c>
      <c r="V31" s="4">
        <v>11659</v>
      </c>
      <c r="W31" s="4">
        <v>15258</v>
      </c>
      <c r="X31" s="4">
        <v>34229</v>
      </c>
      <c r="Y31" s="4">
        <v>16693</v>
      </c>
      <c r="Z31" s="4">
        <v>24915</v>
      </c>
      <c r="AA31" s="4">
        <v>13812</v>
      </c>
      <c r="AB31" s="4">
        <v>13368</v>
      </c>
      <c r="AC31" s="4">
        <v>14472</v>
      </c>
      <c r="AD31" s="13">
        <f t="shared" si="42"/>
        <v>-0.95753733805769525</v>
      </c>
      <c r="AE31" s="13">
        <f t="shared" si="43"/>
        <v>-0.14058602594183989</v>
      </c>
      <c r="AF31" s="13">
        <f t="shared" si="44"/>
        <v>3.2327367015485557</v>
      </c>
      <c r="AG31" s="13">
        <f t="shared" si="45"/>
        <v>7.134792287823212E-2</v>
      </c>
      <c r="AH31" s="13">
        <f t="shared" si="46"/>
        <v>2.1338094494102551</v>
      </c>
      <c r="AI31" s="13">
        <f t="shared" si="47"/>
        <v>0.34133695670762454</v>
      </c>
      <c r="AJ31" s="13">
        <f t="shared" si="48"/>
        <v>-0.11730606172851614</v>
      </c>
      <c r="AK31" s="15">
        <f t="shared" si="54"/>
        <v>11.360520000000001</v>
      </c>
      <c r="AL31" s="13">
        <f t="shared" si="49"/>
        <v>0.78081813156440916</v>
      </c>
      <c r="AM31" s="13">
        <f t="shared" si="16"/>
        <v>3.4043583468880499E-2</v>
      </c>
      <c r="AN31" s="17">
        <f t="shared" si="55"/>
        <v>13.102524947916667</v>
      </c>
      <c r="AO31" s="13">
        <f t="shared" si="50"/>
        <v>16.313839938587861</v>
      </c>
      <c r="AP31" s="13">
        <f t="shared" si="17"/>
        <v>0.77336861941890267</v>
      </c>
      <c r="AQ31" s="10" t="s">
        <v>239</v>
      </c>
      <c r="AR31" s="10" t="s">
        <v>235</v>
      </c>
      <c r="AS31">
        <v>153.13999999999999</v>
      </c>
    </row>
    <row r="32" spans="1:45" ht="13">
      <c r="A32" s="8" t="s">
        <v>99</v>
      </c>
      <c r="B32" s="8" t="s">
        <v>31</v>
      </c>
      <c r="C32" s="4">
        <v>4.1687697644520201</v>
      </c>
      <c r="D32" s="4">
        <f t="shared" si="51"/>
        <v>14749.244140624996</v>
      </c>
      <c r="E32" s="13">
        <f t="shared" si="52"/>
        <v>11.578156650390623</v>
      </c>
      <c r="F32" s="13">
        <f t="shared" si="53"/>
        <v>-17.134362658173629</v>
      </c>
      <c r="G32" s="13">
        <f t="shared" si="2"/>
        <v>-0.68684318843717851</v>
      </c>
      <c r="H32" s="4">
        <v>4.1542827764013301</v>
      </c>
      <c r="I32" s="9">
        <f t="shared" si="37"/>
        <v>14265.361328125016</v>
      </c>
      <c r="J32" s="13">
        <f t="shared" si="38"/>
        <v>11.198308642578139</v>
      </c>
      <c r="K32" s="13">
        <f t="shared" si="39"/>
        <v>-25.242127607326648</v>
      </c>
      <c r="L32" s="13">
        <f t="shared" si="3"/>
        <v>-0.83171306894407415</v>
      </c>
      <c r="M32" s="3">
        <v>-571</v>
      </c>
      <c r="N32" s="3">
        <v>-490</v>
      </c>
      <c r="O32" s="3">
        <f t="shared" si="56"/>
        <v>81</v>
      </c>
      <c r="P32" s="13">
        <v>0.32600000000000001</v>
      </c>
      <c r="Q32" s="13">
        <f t="shared" si="40"/>
        <v>415.28662420382165</v>
      </c>
      <c r="R32" s="13">
        <f t="shared" si="41"/>
        <v>31.22366786837485</v>
      </c>
      <c r="S32" s="13">
        <f t="shared" si="4"/>
        <v>1.6256074164142107</v>
      </c>
      <c r="T32" s="43">
        <v>146</v>
      </c>
      <c r="U32" s="43">
        <v>132</v>
      </c>
      <c r="V32" s="4">
        <v>7260</v>
      </c>
      <c r="W32" s="4">
        <v>10296</v>
      </c>
      <c r="X32" s="4">
        <v>15451</v>
      </c>
      <c r="Y32" s="4">
        <v>15197</v>
      </c>
      <c r="Z32" s="4">
        <v>11798</v>
      </c>
      <c r="AA32" s="4">
        <v>7368</v>
      </c>
      <c r="AB32" s="4">
        <v>9332</v>
      </c>
      <c r="AC32" s="4">
        <v>13769</v>
      </c>
      <c r="AD32" s="13">
        <f t="shared" si="42"/>
        <v>-3.0147841540635287</v>
      </c>
      <c r="AE32" s="13">
        <f t="shared" si="43"/>
        <v>-1.8488767925720626</v>
      </c>
      <c r="AF32" s="13">
        <f t="shared" si="44"/>
        <v>-0.22163948731650818</v>
      </c>
      <c r="AG32" s="13">
        <f t="shared" si="45"/>
        <v>-0.33641737625212936</v>
      </c>
      <c r="AH32" s="13">
        <f t="shared" si="46"/>
        <v>-1.1127155473292134</v>
      </c>
      <c r="AI32" s="13">
        <f t="shared" si="47"/>
        <v>-2.3877325681786172</v>
      </c>
      <c r="AJ32" s="13">
        <f t="shared" si="48"/>
        <v>-1.6782231293647152</v>
      </c>
      <c r="AK32" s="15">
        <f t="shared" si="54"/>
        <v>10.808665000000001</v>
      </c>
      <c r="AL32" s="13">
        <f t="shared" si="49"/>
        <v>-4.2849880165589216</v>
      </c>
      <c r="AM32" s="13">
        <f t="shared" si="16"/>
        <v>-0.18221795571275734</v>
      </c>
      <c r="AN32" s="17">
        <f t="shared" si="55"/>
        <v>8.1764291666666669</v>
      </c>
      <c r="AO32" s="13">
        <f t="shared" si="50"/>
        <v>-34.104995915596817</v>
      </c>
      <c r="AP32" s="13">
        <f t="shared" si="17"/>
        <v>-1.27454454596412</v>
      </c>
      <c r="AQ32" s="10" t="s">
        <v>239</v>
      </c>
      <c r="AR32" s="10" t="s">
        <v>235</v>
      </c>
      <c r="AS32">
        <v>194.19</v>
      </c>
    </row>
    <row r="33" spans="1:45" ht="13">
      <c r="A33" s="8" t="s">
        <v>99</v>
      </c>
      <c r="B33" s="8" t="s">
        <v>31</v>
      </c>
      <c r="C33" s="4">
        <v>4.0767033632361702</v>
      </c>
      <c r="D33" s="4">
        <f t="shared" si="51"/>
        <v>11931.728515624844</v>
      </c>
      <c r="E33" s="13">
        <f t="shared" si="52"/>
        <v>9.3664068847655013</v>
      </c>
      <c r="F33" s="13">
        <f t="shared" si="53"/>
        <v>-44.794051410030548</v>
      </c>
      <c r="G33" s="13">
        <f t="shared" si="2"/>
        <v>-1.6075072005956736</v>
      </c>
      <c r="H33" s="4">
        <v>4.18831427597899</v>
      </c>
      <c r="I33" s="9">
        <f t="shared" si="37"/>
        <v>15428.165039062485</v>
      </c>
      <c r="J33" s="13">
        <f t="shared" si="38"/>
        <v>12.111109555664052</v>
      </c>
      <c r="K33" s="13">
        <f t="shared" si="39"/>
        <v>-15.802767166290476</v>
      </c>
      <c r="L33" s="13">
        <f t="shared" si="3"/>
        <v>-0.49139807316747597</v>
      </c>
      <c r="M33" s="3">
        <v>-601</v>
      </c>
      <c r="N33" s="3">
        <v>-497</v>
      </c>
      <c r="O33" s="3">
        <f t="shared" si="56"/>
        <v>104</v>
      </c>
      <c r="P33" s="13">
        <v>0.83099999999999996</v>
      </c>
      <c r="Q33" s="13">
        <f t="shared" si="40"/>
        <v>1058.5987261146497</v>
      </c>
      <c r="R33" s="13">
        <f t="shared" si="41"/>
        <v>-75.316355832455557</v>
      </c>
      <c r="S33" s="13">
        <f t="shared" si="4"/>
        <v>-2.4382268207475097</v>
      </c>
      <c r="T33" s="43">
        <v>204.4</v>
      </c>
      <c r="U33" s="43">
        <v>177</v>
      </c>
      <c r="V33" s="4">
        <v>9931</v>
      </c>
      <c r="W33" s="4">
        <v>12746</v>
      </c>
      <c r="X33" s="4">
        <v>15855</v>
      </c>
      <c r="Y33" s="4">
        <v>16505</v>
      </c>
      <c r="Z33" s="4">
        <v>18393</v>
      </c>
      <c r="AA33" s="4">
        <v>9470</v>
      </c>
      <c r="AB33" s="4">
        <v>12538</v>
      </c>
      <c r="AC33" s="4">
        <v>11323</v>
      </c>
      <c r="AD33" s="13">
        <f t="shared" si="42"/>
        <v>-1.6542205421574083</v>
      </c>
      <c r="AE33" s="13">
        <f t="shared" si="43"/>
        <v>-0.92182299009689461</v>
      </c>
      <c r="AF33" s="13">
        <f t="shared" si="44"/>
        <v>-0.10954294894941875</v>
      </c>
      <c r="AG33" s="13">
        <f t="shared" si="45"/>
        <v>2.215927572440516E-2</v>
      </c>
      <c r="AH33" s="13">
        <f t="shared" si="46"/>
        <v>0.81572624280846484</v>
      </c>
      <c r="AI33" s="13">
        <f t="shared" si="47"/>
        <v>-1.2977289500338076</v>
      </c>
      <c r="AJ33" s="13">
        <f t="shared" si="48"/>
        <v>-0.39568777555246448</v>
      </c>
      <c r="AK33" s="15">
        <f t="shared" si="54"/>
        <v>8.8885550000000002</v>
      </c>
      <c r="AL33" s="13">
        <f t="shared" si="49"/>
        <v>-26.812682151373313</v>
      </c>
      <c r="AM33" s="13">
        <f t="shared" si="16"/>
        <v>-1.0316268819036931</v>
      </c>
      <c r="AN33" s="17">
        <f t="shared" si="55"/>
        <v>10.129533697916667</v>
      </c>
      <c r="AO33" s="13">
        <f t="shared" si="50"/>
        <v>-8.2478258822038519</v>
      </c>
      <c r="AP33" s="13">
        <f t="shared" si="17"/>
        <v>-0.34428679808139934</v>
      </c>
      <c r="AQ33" s="10" t="s">
        <v>239</v>
      </c>
      <c r="AR33" s="10" t="s">
        <v>235</v>
      </c>
      <c r="AS33">
        <v>194.19</v>
      </c>
    </row>
    <row r="34" spans="1:45" ht="13">
      <c r="A34" s="8" t="s">
        <v>99</v>
      </c>
      <c r="B34" s="8" t="s">
        <v>31</v>
      </c>
      <c r="C34" s="4">
        <v>4.02553890632311</v>
      </c>
      <c r="D34" s="4">
        <f t="shared" si="51"/>
        <v>10605.689453124931</v>
      </c>
      <c r="E34" s="13">
        <f t="shared" si="52"/>
        <v>8.3254662207030705</v>
      </c>
      <c r="F34" s="13">
        <f t="shared" si="53"/>
        <v>-62.89778422588703</v>
      </c>
      <c r="G34" s="13">
        <f t="shared" si="2"/>
        <v>-2.1191517697262792</v>
      </c>
      <c r="I34" s="9"/>
      <c r="J34" s="13"/>
      <c r="K34" s="13"/>
      <c r="L34" s="13"/>
      <c r="M34" s="3">
        <v>-585</v>
      </c>
      <c r="N34" s="3">
        <v>-480</v>
      </c>
      <c r="O34" s="3">
        <f t="shared" si="56"/>
        <v>105</v>
      </c>
      <c r="P34" s="13">
        <v>0.34200000000000003</v>
      </c>
      <c r="Q34" s="13">
        <f t="shared" si="40"/>
        <v>435.66878980891715</v>
      </c>
      <c r="R34" s="13">
        <f t="shared" si="41"/>
        <v>27.848142364982209</v>
      </c>
      <c r="S34" s="13">
        <f t="shared" si="4"/>
        <v>1.4175223565322508</v>
      </c>
      <c r="T34" s="43">
        <v>178</v>
      </c>
      <c r="U34" s="43">
        <v>141</v>
      </c>
      <c r="V34" s="4">
        <v>9232</v>
      </c>
      <c r="W34" s="4">
        <v>15926</v>
      </c>
      <c r="X34" s="4">
        <v>16186</v>
      </c>
      <c r="Y34" s="4">
        <v>16198</v>
      </c>
      <c r="Z34" s="4">
        <v>15552</v>
      </c>
      <c r="AA34" s="4">
        <v>9062</v>
      </c>
      <c r="AB34" s="4">
        <v>14238</v>
      </c>
      <c r="AC34" s="4">
        <v>12075</v>
      </c>
      <c r="AD34" s="13">
        <f t="shared" si="42"/>
        <v>-1.9711924029479033</v>
      </c>
      <c r="AE34" s="13">
        <f t="shared" si="43"/>
        <v>4.5504982366995711E-2</v>
      </c>
      <c r="AF34" s="13">
        <f t="shared" si="44"/>
        <v>-1.9810052015160146E-2</v>
      </c>
      <c r="AG34" s="13">
        <f t="shared" si="45"/>
        <v>-5.9382064639022437E-2</v>
      </c>
      <c r="AH34" s="13">
        <f t="shared" si="46"/>
        <v>8.7063010161491344E-2</v>
      </c>
      <c r="AI34" s="13">
        <f t="shared" si="47"/>
        <v>-1.4889881616348724</v>
      </c>
      <c r="AJ34" s="13">
        <f t="shared" si="48"/>
        <v>0.15651945542796089</v>
      </c>
      <c r="AK34" s="15">
        <f t="shared" si="54"/>
        <v>9.4788750000000004</v>
      </c>
      <c r="AL34" s="13">
        <f t="shared" si="49"/>
        <v>-18.915113871635604</v>
      </c>
      <c r="AM34" s="13">
        <f t="shared" si="16"/>
        <v>-0.75237056081319531</v>
      </c>
      <c r="AN34" s="17">
        <f t="shared" si="55"/>
        <v>10.101756145833333</v>
      </c>
      <c r="AO34" s="13">
        <f t="shared" si="50"/>
        <v>-8.545483000227927</v>
      </c>
      <c r="AP34" s="13">
        <f t="shared" si="17"/>
        <v>-0.35621252823923916</v>
      </c>
      <c r="AQ34" s="10" t="s">
        <v>239</v>
      </c>
      <c r="AR34" s="10" t="s">
        <v>235</v>
      </c>
      <c r="AS34">
        <v>194.19</v>
      </c>
    </row>
    <row r="35" spans="1:45" ht="13">
      <c r="A35" s="8" t="s">
        <v>100</v>
      </c>
      <c r="B35" s="8" t="s">
        <v>32</v>
      </c>
      <c r="C35" s="4">
        <v>4.1896384136645404</v>
      </c>
      <c r="D35" s="4">
        <f t="shared" si="51"/>
        <v>15475.27636718726</v>
      </c>
      <c r="E35" s="13">
        <f t="shared" si="52"/>
        <v>12.148091948242</v>
      </c>
      <c r="F35" s="13">
        <f t="shared" si="53"/>
        <v>-11.638931099485239</v>
      </c>
      <c r="G35" s="13">
        <f t="shared" si="2"/>
        <v>-0.47815669631197427</v>
      </c>
      <c r="H35" s="4">
        <v>4.2978228954273003</v>
      </c>
      <c r="I35" s="9">
        <f t="shared" ref="I35:I65" si="57">POWER(10,H35)</f>
        <v>19852.851562499622</v>
      </c>
      <c r="J35" s="13">
        <f t="shared" ref="J35:J65" si="58">I35*0.785/1000</f>
        <v>15.584488476562203</v>
      </c>
      <c r="K35" s="13">
        <f t="shared" ref="K35:K65" si="59">(1-14.025/J35)*100</f>
        <v>10.006670920945183</v>
      </c>
      <c r="L35" s="13">
        <f t="shared" si="3"/>
        <v>0.60368812131562533</v>
      </c>
      <c r="M35" s="3">
        <v>-582</v>
      </c>
      <c r="N35" s="3">
        <v>-488</v>
      </c>
      <c r="O35" s="3">
        <f t="shared" si="56"/>
        <v>94</v>
      </c>
      <c r="P35" s="13">
        <v>0.754</v>
      </c>
      <c r="Q35" s="13">
        <f t="shared" si="40"/>
        <v>960.50955414012731</v>
      </c>
      <c r="R35" s="13">
        <f t="shared" si="41"/>
        <v>-59.071639347378422</v>
      </c>
      <c r="S35" s="13">
        <f t="shared" si="4"/>
        <v>-2.0159300416041397</v>
      </c>
      <c r="T35" s="43">
        <v>178</v>
      </c>
      <c r="U35" s="43">
        <v>158</v>
      </c>
      <c r="V35" s="4">
        <v>12227</v>
      </c>
      <c r="W35" s="4">
        <v>19283</v>
      </c>
      <c r="X35" s="4">
        <v>16855</v>
      </c>
      <c r="Y35" s="4">
        <v>19881</v>
      </c>
      <c r="Z35" s="4">
        <v>18677</v>
      </c>
      <c r="AA35" s="4">
        <v>12836</v>
      </c>
      <c r="AB35" s="4">
        <v>11908</v>
      </c>
      <c r="AC35" s="4">
        <v>12364</v>
      </c>
      <c r="AD35" s="13">
        <f t="shared" si="42"/>
        <v>-0.75095123900045735</v>
      </c>
      <c r="AE35" s="13">
        <f t="shared" si="43"/>
        <v>0.87618388098483435</v>
      </c>
      <c r="AF35" s="13">
        <f t="shared" si="44"/>
        <v>0.15608215598941319</v>
      </c>
      <c r="AG35" s="13">
        <f t="shared" si="45"/>
        <v>0.83038624216870005</v>
      </c>
      <c r="AH35" s="13">
        <f t="shared" si="46"/>
        <v>0.88227172218914385</v>
      </c>
      <c r="AI35" s="13">
        <f t="shared" si="47"/>
        <v>2.3068344168122409E-2</v>
      </c>
      <c r="AJ35" s="13">
        <f t="shared" si="48"/>
        <v>-0.61958217083499401</v>
      </c>
      <c r="AK35" s="15">
        <f t="shared" si="54"/>
        <v>9.7057400000000005</v>
      </c>
      <c r="AL35" s="13">
        <f t="shared" si="49"/>
        <v>-16.135554836622457</v>
      </c>
      <c r="AM35" s="13">
        <f t="shared" si="16"/>
        <v>-0.64965199113601968</v>
      </c>
      <c r="AN35" s="17">
        <f t="shared" si="55"/>
        <v>11.2431134375</v>
      </c>
      <c r="AO35" s="13">
        <f t="shared" si="50"/>
        <v>2.4736336517995783</v>
      </c>
      <c r="AP35" s="13">
        <f t="shared" si="17"/>
        <v>0.10868459150714635</v>
      </c>
      <c r="AQ35" s="10" t="s">
        <v>239</v>
      </c>
      <c r="AR35" s="10" t="s">
        <v>235</v>
      </c>
      <c r="AS35">
        <v>180.16</v>
      </c>
    </row>
    <row r="36" spans="1:45" ht="13">
      <c r="A36" s="8" t="s">
        <v>100</v>
      </c>
      <c r="B36" s="8" t="s">
        <v>32</v>
      </c>
      <c r="C36" s="4">
        <v>4.2452923127292603</v>
      </c>
      <c r="D36" s="4">
        <f t="shared" si="51"/>
        <v>17591.072265624822</v>
      </c>
      <c r="E36" s="13">
        <f t="shared" si="52"/>
        <v>13.808991728515487</v>
      </c>
      <c r="F36" s="13">
        <f t="shared" si="53"/>
        <v>1.7886297086082803</v>
      </c>
      <c r="G36" s="13">
        <f t="shared" si="2"/>
        <v>7.8382294335223299E-2</v>
      </c>
      <c r="H36" s="4">
        <v>4.2435411219553698</v>
      </c>
      <c r="I36" s="9">
        <f t="shared" si="57"/>
        <v>17520.283203124935</v>
      </c>
      <c r="J36" s="13">
        <f t="shared" si="58"/>
        <v>13.753422314453074</v>
      </c>
      <c r="K36" s="13">
        <f t="shared" si="59"/>
        <v>-1.9746189663756075</v>
      </c>
      <c r="L36" s="13">
        <f t="shared" si="3"/>
        <v>6.0870386596318701E-2</v>
      </c>
      <c r="M36" s="3">
        <v>-592</v>
      </c>
      <c r="N36" s="12">
        <v>-503</v>
      </c>
      <c r="O36" s="3">
        <f t="shared" si="56"/>
        <v>89</v>
      </c>
      <c r="P36" s="13">
        <v>0.59299999999999997</v>
      </c>
      <c r="Q36" s="13">
        <f t="shared" si="40"/>
        <v>755.41401273885344</v>
      </c>
      <c r="R36" s="13">
        <f t="shared" si="41"/>
        <v>-25.105413969489931</v>
      </c>
      <c r="S36" s="13">
        <f t="shared" si="4"/>
        <v>-0.97276351654902493</v>
      </c>
      <c r="T36" s="43">
        <v>156</v>
      </c>
      <c r="U36" s="43">
        <v>132</v>
      </c>
      <c r="V36" s="4">
        <v>10219</v>
      </c>
      <c r="W36" s="4">
        <v>17405</v>
      </c>
      <c r="X36" s="4">
        <v>20713</v>
      </c>
      <c r="Y36" s="4">
        <v>16920</v>
      </c>
      <c r="Z36" s="4">
        <v>15648</v>
      </c>
      <c r="AA36" s="4">
        <v>11182</v>
      </c>
      <c r="AB36" s="4">
        <v>12579</v>
      </c>
      <c r="AC36" s="4">
        <v>13440</v>
      </c>
      <c r="AD36" s="13">
        <f t="shared" si="42"/>
        <v>-1.5300663695457981</v>
      </c>
      <c r="AE36" s="13">
        <f t="shared" si="43"/>
        <v>0.43117814466770649</v>
      </c>
      <c r="AF36" s="13">
        <f t="shared" si="44"/>
        <v>1.0512246391684046</v>
      </c>
      <c r="AG36" s="13">
        <f t="shared" si="45"/>
        <v>0.13000757609114899</v>
      </c>
      <c r="AH36" s="13">
        <f t="shared" si="46"/>
        <v>0.11378890877476078</v>
      </c>
      <c r="AI36" s="13">
        <f t="shared" si="47"/>
        <v>-0.5760338608400013</v>
      </c>
      <c r="AJ36" s="13">
        <f t="shared" si="48"/>
        <v>-0.38150925934955893</v>
      </c>
      <c r="AK36" s="15">
        <f t="shared" si="54"/>
        <v>10.5504</v>
      </c>
      <c r="AL36" s="13">
        <f t="shared" si="49"/>
        <v>-6.8377976190476142</v>
      </c>
      <c r="AM36" s="13">
        <f t="shared" si="16"/>
        <v>-0.28724926787062893</v>
      </c>
      <c r="AN36" s="17">
        <f t="shared" si="55"/>
        <v>10.579951979166667</v>
      </c>
      <c r="AO36" s="13">
        <f t="shared" si="50"/>
        <v>-3.6394118006541465</v>
      </c>
      <c r="AP36" s="13">
        <f t="shared" si="17"/>
        <v>-0.15534436848347005</v>
      </c>
      <c r="AQ36" s="10" t="s">
        <v>239</v>
      </c>
      <c r="AR36" s="10" t="s">
        <v>235</v>
      </c>
      <c r="AS36">
        <v>180.16</v>
      </c>
    </row>
    <row r="37" spans="1:45" ht="13">
      <c r="A37" s="8" t="s">
        <v>100</v>
      </c>
      <c r="B37" s="8" t="s">
        <v>32</v>
      </c>
      <c r="C37" s="4">
        <v>3.9635218899319602</v>
      </c>
      <c r="D37" s="4">
        <f t="shared" si="51"/>
        <v>9194.368164062349</v>
      </c>
      <c r="E37" s="13">
        <f t="shared" si="52"/>
        <v>7.2175790087889444</v>
      </c>
      <c r="F37" s="13">
        <f t="shared" si="53"/>
        <v>-87.902342094009185</v>
      </c>
      <c r="G37" s="13">
        <f t="shared" si="2"/>
        <v>-2.7393219336377794</v>
      </c>
      <c r="H37" s="4">
        <v>4.0278081671991997</v>
      </c>
      <c r="I37" s="9">
        <f t="shared" si="57"/>
        <v>10661.250976562309</v>
      </c>
      <c r="J37" s="13">
        <f t="shared" si="58"/>
        <v>8.3690820166014124</v>
      </c>
      <c r="K37" s="13">
        <f t="shared" si="59"/>
        <v>-67.581103544918903</v>
      </c>
      <c r="L37" s="13">
        <f t="shared" si="3"/>
        <v>-2.0964591609653818</v>
      </c>
      <c r="M37" s="3">
        <v>-571</v>
      </c>
      <c r="N37" s="12">
        <v>-497</v>
      </c>
      <c r="O37" s="3">
        <f t="shared" si="56"/>
        <v>74</v>
      </c>
      <c r="P37" s="13">
        <v>1.0269999999999999</v>
      </c>
      <c r="Q37" s="13">
        <f t="shared" si="40"/>
        <v>1308.28025477707</v>
      </c>
      <c r="R37" s="13">
        <f t="shared" si="41"/>
        <v>-116.66654324901545</v>
      </c>
      <c r="S37" s="13">
        <f t="shared" si="4"/>
        <v>-3.3579210188791815</v>
      </c>
      <c r="T37" s="43">
        <v>175</v>
      </c>
      <c r="U37" s="43">
        <v>162</v>
      </c>
      <c r="V37" s="4">
        <v>9500</v>
      </c>
      <c r="W37" s="4">
        <v>9667</v>
      </c>
      <c r="X37" s="4">
        <v>10427</v>
      </c>
      <c r="Y37" s="4">
        <v>8036</v>
      </c>
      <c r="Z37" s="4">
        <v>7347</v>
      </c>
      <c r="AA37" s="4">
        <v>7673</v>
      </c>
      <c r="AB37" s="4">
        <v>8720</v>
      </c>
      <c r="AC37" s="4">
        <v>8171</v>
      </c>
      <c r="AD37" s="13">
        <f t="shared" si="42"/>
        <v>-1.8469143081759878</v>
      </c>
      <c r="AE37" s="13">
        <f t="shared" si="43"/>
        <v>-2.122644945606484</v>
      </c>
      <c r="AF37" s="13">
        <f t="shared" si="44"/>
        <v>-1.9296116771713911</v>
      </c>
      <c r="AG37" s="13">
        <f t="shared" si="45"/>
        <v>-3.1035967301767831</v>
      </c>
      <c r="AH37" s="13">
        <f t="shared" si="46"/>
        <v>-3.1696990672167362</v>
      </c>
      <c r="AI37" s="13">
        <f t="shared" si="47"/>
        <v>-2.2115767580592154</v>
      </c>
      <c r="AJ37" s="13">
        <f t="shared" si="48"/>
        <v>-1.9728055812561935</v>
      </c>
      <c r="AK37" s="15">
        <f t="shared" si="54"/>
        <v>6.4142350000000006</v>
      </c>
      <c r="AL37" s="13">
        <f t="shared" si="49"/>
        <v>-75.731244645698183</v>
      </c>
      <c r="AM37" s="13">
        <f t="shared" si="16"/>
        <v>-2.4484898500605699</v>
      </c>
      <c r="AN37" s="17">
        <f t="shared" si="55"/>
        <v>6.2818561979166665</v>
      </c>
      <c r="AO37" s="13">
        <f t="shared" si="50"/>
        <v>-74.55031848128688</v>
      </c>
      <c r="AP37" s="13">
        <f t="shared" si="17"/>
        <v>-2.419301428967958</v>
      </c>
      <c r="AQ37" s="10" t="s">
        <v>239</v>
      </c>
      <c r="AR37" s="10" t="s">
        <v>235</v>
      </c>
      <c r="AS37">
        <v>180.16</v>
      </c>
    </row>
    <row r="38" spans="1:45" ht="13">
      <c r="A38" s="8" t="s">
        <v>101</v>
      </c>
      <c r="B38" s="8" t="s">
        <v>33</v>
      </c>
      <c r="C38" s="4">
        <v>4.0521236974520702</v>
      </c>
      <c r="D38" s="4">
        <f t="shared" si="51"/>
        <v>11275.185546874916</v>
      </c>
      <c r="E38" s="13">
        <f t="shared" si="52"/>
        <v>8.8510206542968106</v>
      </c>
      <c r="F38" s="13">
        <f t="shared" si="53"/>
        <v>-53.225266663638379</v>
      </c>
      <c r="G38" s="13">
        <f t="shared" si="2"/>
        <v>-1.8533038584366732</v>
      </c>
      <c r="H38" s="4">
        <v>4.4186995507926703</v>
      </c>
      <c r="I38" s="9">
        <f t="shared" si="57"/>
        <v>26224.037109374702</v>
      </c>
      <c r="J38" s="13">
        <f t="shared" si="58"/>
        <v>20.585869130859141</v>
      </c>
      <c r="K38" s="13">
        <f t="shared" si="59"/>
        <v>31.870741473937102</v>
      </c>
      <c r="L38" s="13">
        <f t="shared" si="3"/>
        <v>1.8124546749693249</v>
      </c>
      <c r="M38" s="3">
        <v>-574</v>
      </c>
      <c r="N38" s="12">
        <v>-492</v>
      </c>
      <c r="O38" s="3">
        <f t="shared" si="56"/>
        <v>82</v>
      </c>
      <c r="P38" s="13">
        <v>0.46600000000000003</v>
      </c>
      <c r="Q38" s="13">
        <f t="shared" si="40"/>
        <v>593.63057324840759</v>
      </c>
      <c r="R38" s="13">
        <f t="shared" si="41"/>
        <v>1.6878197136891981</v>
      </c>
      <c r="S38" s="13">
        <f t="shared" si="4"/>
        <v>7.3924250193599675E-2</v>
      </c>
      <c r="T38" s="43">
        <v>129</v>
      </c>
      <c r="U38" s="43">
        <v>126</v>
      </c>
      <c r="V38" s="4">
        <v>7330</v>
      </c>
      <c r="W38" s="4">
        <v>9340</v>
      </c>
      <c r="X38" s="4">
        <v>15565</v>
      </c>
      <c r="Y38" s="4">
        <v>17754</v>
      </c>
      <c r="Z38" s="4">
        <v>17766</v>
      </c>
      <c r="AA38" s="4">
        <v>9578</v>
      </c>
      <c r="AB38" s="4">
        <v>9110</v>
      </c>
      <c r="AC38" s="4">
        <v>9027</v>
      </c>
      <c r="AD38" s="13">
        <f t="shared" si="42"/>
        <v>-2.9731106146531863</v>
      </c>
      <c r="AE38" s="13">
        <f t="shared" si="43"/>
        <v>-2.2720933692344318</v>
      </c>
      <c r="AF38" s="13">
        <f t="shared" si="44"/>
        <v>-0.18971416239515293</v>
      </c>
      <c r="AG38" s="13">
        <f t="shared" si="45"/>
        <v>0.33896614450386864</v>
      </c>
      <c r="AH38" s="13">
        <f t="shared" si="46"/>
        <v>0.66509711206892652</v>
      </c>
      <c r="AI38" s="13">
        <f t="shared" si="47"/>
        <v>-1.2484804130006526</v>
      </c>
      <c r="AJ38" s="13">
        <f t="shared" si="48"/>
        <v>-1.782786660851883</v>
      </c>
      <c r="AK38" s="15">
        <f t="shared" si="54"/>
        <v>7.0861950000000009</v>
      </c>
      <c r="AL38" s="13">
        <f t="shared" si="49"/>
        <v>-59.067242716295532</v>
      </c>
      <c r="AM38" s="13">
        <f t="shared" si="16"/>
        <v>-2.0158075304512626</v>
      </c>
      <c r="AN38" s="17">
        <f t="shared" si="55"/>
        <v>9.127800104166667</v>
      </c>
      <c r="AO38" s="13">
        <f t="shared" si="50"/>
        <v>-20.127521142741568</v>
      </c>
      <c r="AP38" s="13">
        <f t="shared" si="17"/>
        <v>-0.79652012746369361</v>
      </c>
      <c r="AQ38" s="10" t="s">
        <v>239</v>
      </c>
      <c r="AR38" s="10" t="s">
        <v>235</v>
      </c>
      <c r="AS38">
        <v>180.16</v>
      </c>
    </row>
    <row r="39" spans="1:45" ht="13">
      <c r="A39" s="8" t="s">
        <v>101</v>
      </c>
      <c r="B39" s="8" t="s">
        <v>33</v>
      </c>
      <c r="C39" s="4">
        <v>4.1059445613258996</v>
      </c>
      <c r="D39" s="4">
        <f t="shared" si="51"/>
        <v>12762.758789062371</v>
      </c>
      <c r="E39" s="13">
        <f t="shared" si="52"/>
        <v>10.018765649413961</v>
      </c>
      <c r="F39" s="13">
        <f t="shared" si="53"/>
        <v>-35.365976953391431</v>
      </c>
      <c r="G39" s="13">
        <f t="shared" si="2"/>
        <v>-1.3150952196983794</v>
      </c>
      <c r="H39" s="4">
        <v>4.2158595027637498</v>
      </c>
      <c r="I39" s="9">
        <f t="shared" si="57"/>
        <v>16438.398437499782</v>
      </c>
      <c r="J39" s="13">
        <f t="shared" si="58"/>
        <v>12.904142773437329</v>
      </c>
      <c r="K39" s="13">
        <f t="shared" si="59"/>
        <v>-8.6860262339154559</v>
      </c>
      <c r="L39" s="13">
        <f t="shared" si="3"/>
        <v>-0.21594580531987995</v>
      </c>
      <c r="M39" s="3">
        <v>-576</v>
      </c>
      <c r="N39" s="12">
        <v>-499</v>
      </c>
      <c r="O39" s="3">
        <f t="shared" si="56"/>
        <v>77</v>
      </c>
      <c r="P39" s="13">
        <v>0.434</v>
      </c>
      <c r="Q39" s="13">
        <f t="shared" si="40"/>
        <v>552.86624203821657</v>
      </c>
      <c r="R39" s="13">
        <f t="shared" si="41"/>
        <v>8.4388707204744779</v>
      </c>
      <c r="S39" s="13">
        <f t="shared" si="4"/>
        <v>0.38288612196849359</v>
      </c>
      <c r="T39" s="43">
        <v>124</v>
      </c>
      <c r="U39" s="43">
        <v>136</v>
      </c>
      <c r="V39" s="4">
        <v>14298</v>
      </c>
      <c r="W39" s="4">
        <v>22834</v>
      </c>
      <c r="X39" s="4">
        <v>19916</v>
      </c>
      <c r="Y39" s="4">
        <v>25336</v>
      </c>
      <c r="Z39" s="4">
        <v>16217</v>
      </c>
      <c r="AA39" s="4">
        <v>9386</v>
      </c>
      <c r="AB39" s="4">
        <v>11648</v>
      </c>
      <c r="AC39" s="4">
        <v>12129</v>
      </c>
      <c r="AD39" s="13">
        <f t="shared" si="42"/>
        <v>-7.1397433763468313E-2</v>
      </c>
      <c r="AE39" s="13">
        <f t="shared" si="43"/>
        <v>1.6102578356497732</v>
      </c>
      <c r="AF39" s="13">
        <f t="shared" si="44"/>
        <v>0.88081576345372559</v>
      </c>
      <c r="AG39" s="13">
        <f t="shared" si="45"/>
        <v>1.8833844926996568</v>
      </c>
      <c r="AH39" s="13">
        <f t="shared" si="46"/>
        <v>0.26890570143293369</v>
      </c>
      <c r="AI39" s="13">
        <f t="shared" si="47"/>
        <v>-1.3364232413017829</v>
      </c>
      <c r="AJ39" s="13">
        <f t="shared" si="48"/>
        <v>-0.71545681089224566</v>
      </c>
      <c r="AK39" s="15">
        <f t="shared" si="54"/>
        <v>9.5212650000000014</v>
      </c>
      <c r="AL39" s="13">
        <f t="shared" si="49"/>
        <v>-18.385687195976573</v>
      </c>
      <c r="AM39" s="13">
        <f t="shared" si="16"/>
        <v>-0.7329919945153256</v>
      </c>
      <c r="AN39" s="17">
        <f t="shared" si="55"/>
        <v>10.690898645833334</v>
      </c>
      <c r="AO39" s="13">
        <f t="shared" si="50"/>
        <v>-2.563875715663011</v>
      </c>
      <c r="AP39" s="13">
        <f t="shared" si="17"/>
        <v>-0.11003921080087709</v>
      </c>
      <c r="AQ39" s="10" t="s">
        <v>239</v>
      </c>
      <c r="AR39" s="10" t="s">
        <v>235</v>
      </c>
      <c r="AS39">
        <v>180.16</v>
      </c>
    </row>
    <row r="40" spans="1:45" ht="13">
      <c r="A40" s="8" t="s">
        <v>101</v>
      </c>
      <c r="B40" s="8" t="s">
        <v>33</v>
      </c>
      <c r="C40" s="4">
        <v>4.1190801808882203</v>
      </c>
      <c r="D40" s="4">
        <f t="shared" si="51"/>
        <v>13154.676757812267</v>
      </c>
      <c r="E40" s="13">
        <f t="shared" si="52"/>
        <v>10.32642125488263</v>
      </c>
      <c r="F40" s="13">
        <f t="shared" si="53"/>
        <v>-31.33301136235842</v>
      </c>
      <c r="G40" s="13">
        <f t="shared" si="2"/>
        <v>-1.183739024075172</v>
      </c>
      <c r="H40" s="4">
        <v>4.2292230452620201</v>
      </c>
      <c r="I40" s="9">
        <f t="shared" si="57"/>
        <v>16952.082031249851</v>
      </c>
      <c r="J40" s="13">
        <f t="shared" si="58"/>
        <v>13.307384394531132</v>
      </c>
      <c r="K40" s="13">
        <f t="shared" si="59"/>
        <v>-5.3926119828911157</v>
      </c>
      <c r="L40" s="13">
        <f t="shared" si="3"/>
        <v>-8.2310380337175817E-2</v>
      </c>
      <c r="M40" s="3">
        <v>-605</v>
      </c>
      <c r="N40" s="12">
        <v>-501</v>
      </c>
      <c r="O40" s="3">
        <f t="shared" si="56"/>
        <v>104</v>
      </c>
      <c r="P40" s="13">
        <v>0.52700000000000002</v>
      </c>
      <c r="Q40" s="13">
        <f t="shared" si="40"/>
        <v>671.33757961783442</v>
      </c>
      <c r="R40" s="13">
        <f t="shared" si="41"/>
        <v>-11.181371267995278</v>
      </c>
      <c r="S40" s="13">
        <f t="shared" si="4"/>
        <v>-0.46032273503186538</v>
      </c>
      <c r="T40" s="43">
        <v>194</v>
      </c>
      <c r="U40" s="43">
        <v>140</v>
      </c>
      <c r="V40" s="4">
        <v>11874</v>
      </c>
      <c r="W40" s="4">
        <v>16295</v>
      </c>
      <c r="X40" s="4">
        <v>23444</v>
      </c>
      <c r="Y40" s="4">
        <v>20570</v>
      </c>
      <c r="Z40" s="4">
        <v>26566</v>
      </c>
      <c r="AA40" s="4">
        <v>12481</v>
      </c>
      <c r="AB40" s="4">
        <v>13837</v>
      </c>
      <c r="AC40" s="4">
        <v>9931</v>
      </c>
      <c r="AD40" s="13">
        <f t="shared" si="42"/>
        <v>-0.87817991516406657</v>
      </c>
      <c r="AE40" s="13">
        <f t="shared" si="43"/>
        <v>0.14498151647626462</v>
      </c>
      <c r="AF40" s="13">
        <f t="shared" si="44"/>
        <v>1.5891117145153189</v>
      </c>
      <c r="AG40" s="13">
        <f t="shared" si="45"/>
        <v>0.97834690600834207</v>
      </c>
      <c r="AH40" s="13">
        <f t="shared" si="46"/>
        <v>2.4124622174324517</v>
      </c>
      <c r="AI40" s="13">
        <f t="shared" si="47"/>
        <v>-9.8734908170427627E-2</v>
      </c>
      <c r="AJ40" s="13">
        <f t="shared" si="48"/>
        <v>3.2448978808627599E-2</v>
      </c>
      <c r="AK40" s="15">
        <f t="shared" si="54"/>
        <v>7.7958350000000003</v>
      </c>
      <c r="AL40" s="13">
        <f t="shared" si="49"/>
        <v>-44.587654818245895</v>
      </c>
      <c r="AM40" s="13">
        <f t="shared" si="16"/>
        <v>-1.601312136141636</v>
      </c>
      <c r="AN40" s="17">
        <f t="shared" si="55"/>
        <v>12.65883640625</v>
      </c>
      <c r="AO40" s="13">
        <f t="shared" si="50"/>
        <v>13.380664319302749</v>
      </c>
      <c r="AP40" s="13">
        <f t="shared" si="17"/>
        <v>0.62375654036179573</v>
      </c>
      <c r="AQ40" s="10" t="s">
        <v>239</v>
      </c>
      <c r="AR40" s="10" t="s">
        <v>235</v>
      </c>
      <c r="AS40">
        <v>180.16</v>
      </c>
    </row>
    <row r="41" spans="1:45" ht="13">
      <c r="A41" s="8" t="s">
        <v>102</v>
      </c>
      <c r="B41" s="8" t="s">
        <v>34</v>
      </c>
      <c r="C41" s="4">
        <v>4.0185005820403896</v>
      </c>
      <c r="D41" s="4">
        <f t="shared" si="51"/>
        <v>10435.195312499805</v>
      </c>
      <c r="E41" s="13">
        <f t="shared" si="52"/>
        <v>8.191628320312347</v>
      </c>
      <c r="F41" s="13">
        <f t="shared" si="53"/>
        <v>-65.559269411321154</v>
      </c>
      <c r="G41" s="13">
        <f t="shared" si="2"/>
        <v>-2.1895350125534807</v>
      </c>
      <c r="H41" s="4">
        <v>4.2347104158747602</v>
      </c>
      <c r="I41" s="9">
        <f t="shared" si="57"/>
        <v>17167.632812499905</v>
      </c>
      <c r="J41" s="13">
        <f t="shared" si="58"/>
        <v>13.476591757812427</v>
      </c>
      <c r="K41" s="13">
        <f t="shared" si="59"/>
        <v>-4.06933928134805</v>
      </c>
      <c r="L41" s="13">
        <f t="shared" si="3"/>
        <v>-2.7436674209776937E-2</v>
      </c>
      <c r="M41" s="3">
        <v>-587</v>
      </c>
      <c r="N41" s="12">
        <v>-490</v>
      </c>
      <c r="O41" s="3">
        <f t="shared" si="56"/>
        <v>97</v>
      </c>
      <c r="P41" s="13">
        <v>0.94699999999999995</v>
      </c>
      <c r="Q41" s="13">
        <f t="shared" si="40"/>
        <v>1206.3694267515923</v>
      </c>
      <c r="R41" s="13">
        <f t="shared" si="41"/>
        <v>-99.788915732052217</v>
      </c>
      <c r="S41" s="13">
        <f t="shared" si="4"/>
        <v>-3.0057163729391334</v>
      </c>
      <c r="T41" s="43">
        <v>196</v>
      </c>
      <c r="U41" s="43">
        <v>112</v>
      </c>
      <c r="V41" s="4">
        <v>8662</v>
      </c>
      <c r="W41" s="4">
        <v>13240</v>
      </c>
      <c r="X41" s="4">
        <v>17408</v>
      </c>
      <c r="Y41" s="4">
        <v>16458</v>
      </c>
      <c r="Z41" s="4">
        <v>10262</v>
      </c>
      <c r="AA41" s="4">
        <v>10481</v>
      </c>
      <c r="AB41" s="4">
        <v>11358</v>
      </c>
      <c r="AC41" s="4">
        <v>10668</v>
      </c>
      <c r="AD41" s="13">
        <f t="shared" si="42"/>
        <v>-2.2479685671262311</v>
      </c>
      <c r="AE41" s="13">
        <f t="shared" si="43"/>
        <v>-0.75668228049855379</v>
      </c>
      <c r="AF41" s="13">
        <f t="shared" si="44"/>
        <v>0.29628336760036489</v>
      </c>
      <c r="AG41" s="13">
        <f t="shared" si="45"/>
        <v>9.7745689428325351E-3</v>
      </c>
      <c r="AH41" s="13">
        <f t="shared" si="46"/>
        <v>-1.7184793624668424</v>
      </c>
      <c r="AI41" s="13">
        <f t="shared" si="47"/>
        <v>-0.85720153022776091</v>
      </c>
      <c r="AJ41" s="13">
        <f t="shared" si="48"/>
        <v>-0.82495178710746175</v>
      </c>
      <c r="AK41" s="15">
        <f t="shared" si="54"/>
        <v>8.3743800000000004</v>
      </c>
      <c r="AL41" s="13">
        <f t="shared" si="49"/>
        <v>-34.598800149981244</v>
      </c>
      <c r="AM41" s="13">
        <f t="shared" si="16"/>
        <v>-1.2904118848703081</v>
      </c>
      <c r="AN41" s="17">
        <f t="shared" si="55"/>
        <v>8.8847771874999992</v>
      </c>
      <c r="AO41" s="13">
        <f t="shared" si="50"/>
        <v>-23.413336863716381</v>
      </c>
      <c r="AP41" s="13">
        <f t="shared" si="17"/>
        <v>-0.91371592315681271</v>
      </c>
      <c r="AQ41" s="10" t="s">
        <v>239</v>
      </c>
      <c r="AR41" s="10" t="s">
        <v>235</v>
      </c>
      <c r="AS41">
        <v>123.11</v>
      </c>
    </row>
    <row r="42" spans="1:45" ht="13">
      <c r="A42" s="8" t="s">
        <v>102</v>
      </c>
      <c r="B42" s="8" t="s">
        <v>34</v>
      </c>
      <c r="C42" s="4">
        <v>3.9478984686118102</v>
      </c>
      <c r="D42" s="4">
        <f t="shared" si="51"/>
        <v>8869.4863281249291</v>
      </c>
      <c r="E42" s="13">
        <f t="shared" si="52"/>
        <v>6.9625467675780692</v>
      </c>
      <c r="F42" s="13">
        <f t="shared" si="53"/>
        <v>-94.785047091576786</v>
      </c>
      <c r="G42" s="13">
        <f t="shared" si="2"/>
        <v>-2.8955561468392754</v>
      </c>
      <c r="H42" s="4">
        <v>4.1566018816243604</v>
      </c>
      <c r="I42" s="9">
        <f t="shared" si="57"/>
        <v>14341.741210937409</v>
      </c>
      <c r="J42" s="13">
        <f t="shared" si="58"/>
        <v>11.258266850585867</v>
      </c>
      <c r="K42" s="13">
        <f t="shared" si="59"/>
        <v>-24.575124982671337</v>
      </c>
      <c r="L42" s="13">
        <f t="shared" si="3"/>
        <v>-0.80852201671377066</v>
      </c>
      <c r="M42" s="3">
        <v>-561</v>
      </c>
      <c r="N42" s="12">
        <v>-492</v>
      </c>
      <c r="O42" s="3">
        <f t="shared" si="56"/>
        <v>69</v>
      </c>
      <c r="P42" s="13">
        <v>0.56699999999999995</v>
      </c>
      <c r="Q42" s="13">
        <f t="shared" si="40"/>
        <v>722.29299363057316</v>
      </c>
      <c r="R42" s="13">
        <f t="shared" si="41"/>
        <v>-19.620185026476868</v>
      </c>
      <c r="S42" s="13">
        <f t="shared" si="4"/>
        <v>-0.77804717183546446</v>
      </c>
      <c r="T42" s="43">
        <v>97</v>
      </c>
      <c r="U42" s="43">
        <v>91</v>
      </c>
      <c r="V42" s="4">
        <v>14747</v>
      </c>
      <c r="W42" s="4">
        <v>13864</v>
      </c>
      <c r="X42" s="4">
        <v>15212</v>
      </c>
      <c r="Y42" s="4">
        <v>16779</v>
      </c>
      <c r="Z42" s="4">
        <v>10398</v>
      </c>
      <c r="AA42" s="4">
        <v>7257</v>
      </c>
      <c r="AB42" s="4">
        <v>8934</v>
      </c>
      <c r="AC42" s="4">
        <v>8736</v>
      </c>
      <c r="AD42" s="13">
        <f t="shared" si="42"/>
        <v>6.288644142630137E-2</v>
      </c>
      <c r="AE42" s="13">
        <f t="shared" si="43"/>
        <v>-0.55667663447675941</v>
      </c>
      <c r="AF42" s="13">
        <f t="shared" si="44"/>
        <v>-0.2893422451850452</v>
      </c>
      <c r="AG42" s="13">
        <f t="shared" si="45"/>
        <v>9.3664729540208505E-2</v>
      </c>
      <c r="AH42" s="13">
        <f t="shared" si="46"/>
        <v>-1.6613013346848953</v>
      </c>
      <c r="AI42" s="13">
        <f t="shared" si="47"/>
        <v>-2.4536575092511206</v>
      </c>
      <c r="AJ42" s="13">
        <f t="shared" si="48"/>
        <v>-1.8675109492236674</v>
      </c>
      <c r="AK42" s="15">
        <f t="shared" si="54"/>
        <v>6.8577599999999999</v>
      </c>
      <c r="AL42" s="13">
        <f t="shared" si="49"/>
        <v>-64.365842490842496</v>
      </c>
      <c r="AM42" s="13">
        <f t="shared" si="16"/>
        <v>-2.1581157014420733</v>
      </c>
      <c r="AN42" s="17">
        <f t="shared" si="55"/>
        <v>7.6210334895833336</v>
      </c>
      <c r="AO42" s="13">
        <f t="shared" si="50"/>
        <v>-43.878123813355543</v>
      </c>
      <c r="AP42" s="13">
        <f t="shared" si="17"/>
        <v>-1.5800426327551564</v>
      </c>
      <c r="AQ42" s="10" t="s">
        <v>239</v>
      </c>
      <c r="AR42" s="10" t="s">
        <v>235</v>
      </c>
      <c r="AS42">
        <v>123.11</v>
      </c>
    </row>
    <row r="43" spans="1:45" ht="13">
      <c r="A43" s="8" t="s">
        <v>102</v>
      </c>
      <c r="B43" s="8" t="s">
        <v>34</v>
      </c>
      <c r="C43" s="4">
        <v>3.8974679382144299</v>
      </c>
      <c r="D43" s="4">
        <f t="shared" si="51"/>
        <v>7897.105468749829</v>
      </c>
      <c r="E43" s="13">
        <f t="shared" si="52"/>
        <v>6.1992277929686157</v>
      </c>
      <c r="F43" s="13">
        <f t="shared" si="53"/>
        <v>-118.76918308087502</v>
      </c>
      <c r="G43" s="13">
        <f t="shared" si="2"/>
        <v>-3.399861450813082</v>
      </c>
      <c r="H43" s="4">
        <v>4.10295402436887</v>
      </c>
      <c r="I43" s="9">
        <f t="shared" si="57"/>
        <v>12675.176757812451</v>
      </c>
      <c r="J43" s="13">
        <f t="shared" si="58"/>
        <v>9.9500137548827752</v>
      </c>
      <c r="K43" s="13">
        <f t="shared" si="59"/>
        <v>-40.954579013697391</v>
      </c>
      <c r="L43" s="13">
        <f t="shared" si="3"/>
        <v>-1.3450005892686736</v>
      </c>
      <c r="M43" s="3">
        <v>-554</v>
      </c>
      <c r="N43" s="12">
        <v>-499</v>
      </c>
      <c r="O43" s="3">
        <f t="shared" si="56"/>
        <v>55</v>
      </c>
      <c r="P43" s="13">
        <v>0.48599999999999999</v>
      </c>
      <c r="Q43" s="13">
        <f t="shared" si="40"/>
        <v>619.10828025477701</v>
      </c>
      <c r="R43" s="13">
        <f t="shared" si="41"/>
        <v>-2.5315871655515965</v>
      </c>
      <c r="S43" s="13">
        <f t="shared" si="4"/>
        <v>-0.10857927552933261</v>
      </c>
      <c r="T43" s="43">
        <v>91</v>
      </c>
      <c r="U43" s="43">
        <v>83</v>
      </c>
      <c r="V43" s="4">
        <v>12946</v>
      </c>
      <c r="W43" s="4">
        <v>13861</v>
      </c>
      <c r="X43" s="4">
        <v>15263</v>
      </c>
      <c r="Y43" s="4">
        <v>15515</v>
      </c>
      <c r="Z43" s="4">
        <v>9368</v>
      </c>
      <c r="AA43" s="4">
        <v>7438</v>
      </c>
      <c r="AB43" s="4">
        <v>9035</v>
      </c>
      <c r="AC43" s="4">
        <v>8269</v>
      </c>
      <c r="AD43" s="13">
        <f t="shared" si="42"/>
        <v>-0.50279433424534981</v>
      </c>
      <c r="AE43" s="13">
        <f t="shared" si="43"/>
        <v>-0.55761649629879306</v>
      </c>
      <c r="AF43" s="13">
        <f t="shared" si="44"/>
        <v>-0.27480637036697442</v>
      </c>
      <c r="AG43" s="13">
        <f t="shared" si="45"/>
        <v>-0.24647821173705284</v>
      </c>
      <c r="AH43" s="13">
        <f t="shared" si="46"/>
        <v>-2.1143306450174348</v>
      </c>
      <c r="AI43" s="13">
        <f t="shared" si="47"/>
        <v>-2.3466669998370042</v>
      </c>
      <c r="AJ43" s="13">
        <f t="shared" si="48"/>
        <v>-1.8186888616123584</v>
      </c>
      <c r="AK43" s="15">
        <f t="shared" si="54"/>
        <v>6.4911649999999996</v>
      </c>
      <c r="AL43" s="13">
        <f t="shared" si="49"/>
        <v>-73.64856693675172</v>
      </c>
      <c r="AM43" s="13">
        <f t="shared" si="16"/>
        <v>-2.3967120357520586</v>
      </c>
      <c r="AN43" s="17">
        <f t="shared" si="55"/>
        <v>7.3831294270833334</v>
      </c>
      <c r="AO43" s="13">
        <f t="shared" si="50"/>
        <v>-48.514259546600755</v>
      </c>
      <c r="AP43" s="13">
        <f t="shared" si="17"/>
        <v>-1.717776516337657</v>
      </c>
      <c r="AQ43" s="10" t="s">
        <v>239</v>
      </c>
      <c r="AR43" s="10" t="s">
        <v>235</v>
      </c>
      <c r="AS43">
        <v>123.11</v>
      </c>
    </row>
    <row r="44" spans="1:45" ht="13" customHeight="1">
      <c r="A44" s="7" t="s">
        <v>103</v>
      </c>
      <c r="B44" s="7" t="s">
        <v>35</v>
      </c>
      <c r="C44" s="4">
        <v>4.5766388717483801</v>
      </c>
      <c r="D44" s="4">
        <f t="shared" si="51"/>
        <v>37725.835937499236</v>
      </c>
      <c r="E44" s="13">
        <f t="shared" si="52"/>
        <v>29.614781210936901</v>
      </c>
      <c r="F44" s="13">
        <f t="shared" si="53"/>
        <v>54.205300713173997</v>
      </c>
      <c r="G44" s="13">
        <f t="shared" si="2"/>
        <v>3.3918478845264226</v>
      </c>
      <c r="H44" s="4">
        <v>4.3362663956899503</v>
      </c>
      <c r="I44" s="9">
        <f t="shared" si="57"/>
        <v>21690.341796875004</v>
      </c>
      <c r="J44" s="13">
        <f t="shared" si="58"/>
        <v>17.026918310546879</v>
      </c>
      <c r="K44" s="13">
        <f t="shared" si="59"/>
        <v>17.630426456485782</v>
      </c>
      <c r="L44" s="13">
        <f t="shared" si="3"/>
        <v>0.98812312394212343</v>
      </c>
      <c r="M44" s="3">
        <v>-592</v>
      </c>
      <c r="N44" s="12">
        <v>-477</v>
      </c>
      <c r="O44" s="3">
        <f t="shared" si="56"/>
        <v>115</v>
      </c>
      <c r="P44" s="13">
        <v>0.26600000000000001</v>
      </c>
      <c r="Q44" s="13">
        <f t="shared" si="40"/>
        <v>338.85350318471336</v>
      </c>
      <c r="R44" s="13">
        <f t="shared" si="41"/>
        <v>43.881888506097269</v>
      </c>
      <c r="S44" s="13">
        <f t="shared" si="4"/>
        <v>2.5089670507829309</v>
      </c>
      <c r="T44" s="43">
        <v>150</v>
      </c>
      <c r="U44" s="43">
        <v>101</v>
      </c>
      <c r="V44" s="4">
        <v>9670</v>
      </c>
      <c r="W44" s="4">
        <v>11656</v>
      </c>
      <c r="X44" s="4">
        <v>19104</v>
      </c>
      <c r="Y44" s="4">
        <v>22881</v>
      </c>
      <c r="Z44" s="4">
        <v>22368</v>
      </c>
      <c r="AA44" s="4">
        <v>30672</v>
      </c>
      <c r="AB44" s="4">
        <v>32660</v>
      </c>
      <c r="AC44" s="4">
        <v>38806</v>
      </c>
      <c r="AD44" s="13">
        <f t="shared" si="42"/>
        <v>-1.7698856202344491</v>
      </c>
      <c r="AE44" s="13">
        <f t="shared" si="43"/>
        <v>-1.3100667439160276</v>
      </c>
      <c r="AF44" s="13">
        <f t="shared" si="44"/>
        <v>0.70003768191225724</v>
      </c>
      <c r="AG44" s="13">
        <f t="shared" si="45"/>
        <v>1.4407540001448658</v>
      </c>
      <c r="AH44" s="13">
        <f t="shared" si="46"/>
        <v>1.6654720749953722</v>
      </c>
      <c r="AI44" s="13">
        <f t="shared" si="47"/>
        <v>3.8061922152733318</v>
      </c>
      <c r="AJ44" s="13">
        <f t="shared" si="48"/>
        <v>3.7621913734246286</v>
      </c>
      <c r="AK44" s="15">
        <f t="shared" si="54"/>
        <v>30.462710000000001</v>
      </c>
      <c r="AL44" s="13">
        <f t="shared" si="49"/>
        <v>62.997990001546157</v>
      </c>
      <c r="AM44" s="13">
        <f t="shared" si="16"/>
        <v>4.3177468383767215</v>
      </c>
      <c r="AN44" s="17">
        <f t="shared" si="55"/>
        <v>22.015701145833333</v>
      </c>
      <c r="AO44" s="13">
        <f t="shared" si="50"/>
        <v>50.194636421673877</v>
      </c>
      <c r="AP44" s="13">
        <f t="shared" si="17"/>
        <v>3.027143878711847</v>
      </c>
      <c r="AQ44" s="10" t="s">
        <v>237</v>
      </c>
      <c r="AR44" s="10" t="s">
        <v>235</v>
      </c>
      <c r="AS44">
        <v>84.08</v>
      </c>
    </row>
    <row r="45" spans="1:45" ht="14">
      <c r="A45" s="7" t="s">
        <v>103</v>
      </c>
      <c r="B45" s="7" t="s">
        <v>35</v>
      </c>
      <c r="C45" s="4">
        <v>4.5331164551663798</v>
      </c>
      <c r="D45" s="4">
        <f t="shared" si="51"/>
        <v>34128.441406249454</v>
      </c>
      <c r="E45" s="13">
        <f t="shared" si="52"/>
        <v>26.790826503905823</v>
      </c>
      <c r="F45" s="13">
        <f t="shared" si="53"/>
        <v>49.378194815965081</v>
      </c>
      <c r="G45" s="13">
        <f t="shared" si="2"/>
        <v>2.9566237187064193</v>
      </c>
      <c r="H45" s="4">
        <v>4.3993139020700598</v>
      </c>
      <c r="I45" s="9">
        <f t="shared" si="57"/>
        <v>25079.212890624716</v>
      </c>
      <c r="J45" s="13">
        <f t="shared" si="58"/>
        <v>19.687182119140402</v>
      </c>
      <c r="K45" s="13">
        <f t="shared" si="59"/>
        <v>28.760754509582544</v>
      </c>
      <c r="L45" s="13">
        <f t="shared" si="3"/>
        <v>1.6185981877432205</v>
      </c>
      <c r="M45" s="3">
        <v>-623</v>
      </c>
      <c r="N45" s="12">
        <v>-494</v>
      </c>
      <c r="O45" s="3">
        <f t="shared" si="56"/>
        <v>129</v>
      </c>
      <c r="P45" s="13">
        <v>0.30099999999999999</v>
      </c>
      <c r="Q45" s="13">
        <f t="shared" si="40"/>
        <v>383.43949044585986</v>
      </c>
      <c r="R45" s="13">
        <f t="shared" si="41"/>
        <v>36.497926467425856</v>
      </c>
      <c r="S45" s="13">
        <f t="shared" si="4"/>
        <v>1.972118461155167</v>
      </c>
      <c r="T45" s="43">
        <v>165</v>
      </c>
      <c r="U45" s="43">
        <v>107</v>
      </c>
      <c r="V45" s="4">
        <v>8097</v>
      </c>
      <c r="W45" s="4">
        <v>14695</v>
      </c>
      <c r="X45" s="4">
        <v>19864</v>
      </c>
      <c r="Y45" s="4">
        <v>22803</v>
      </c>
      <c r="Z45" s="4">
        <v>27278</v>
      </c>
      <c r="AA45" s="4">
        <v>30297</v>
      </c>
      <c r="AB45" s="4">
        <v>38749</v>
      </c>
      <c r="AC45" s="4">
        <v>37761</v>
      </c>
      <c r="AD45" s="13">
        <f t="shared" si="42"/>
        <v>-2.5409089683026749</v>
      </c>
      <c r="AE45" s="13">
        <f t="shared" si="43"/>
        <v>-0.30386622744905151</v>
      </c>
      <c r="AF45" s="13">
        <f t="shared" si="44"/>
        <v>0.86946165288458566</v>
      </c>
      <c r="AG45" s="13">
        <f t="shared" si="45"/>
        <v>1.4259238615819605</v>
      </c>
      <c r="AH45" s="13">
        <f t="shared" si="46"/>
        <v>2.5273257847978652</v>
      </c>
      <c r="AI45" s="13">
        <f t="shared" si="47"/>
        <v>3.7527675291317069</v>
      </c>
      <c r="AJ45" s="13">
        <f t="shared" si="48"/>
        <v>4.5046345603999285</v>
      </c>
      <c r="AK45" s="15">
        <f t="shared" si="54"/>
        <v>29.642385000000001</v>
      </c>
      <c r="AL45" s="13">
        <f t="shared" si="49"/>
        <v>61.973994332777202</v>
      </c>
      <c r="AM45" s="13">
        <f t="shared" si="16"/>
        <v>4.1991929141171509</v>
      </c>
      <c r="AN45" s="17">
        <f t="shared" si="55"/>
        <v>23.838667395833333</v>
      </c>
      <c r="AO45" s="13">
        <f t="shared" si="50"/>
        <v>54.003301367774739</v>
      </c>
      <c r="AP45" s="13">
        <f t="shared" si="17"/>
        <v>3.3726384091866706</v>
      </c>
      <c r="AQ45" s="10" t="s">
        <v>237</v>
      </c>
      <c r="AR45" s="10" t="s">
        <v>235</v>
      </c>
      <c r="AS45">
        <v>84.08</v>
      </c>
    </row>
    <row r="46" spans="1:45" ht="14">
      <c r="A46" s="7" t="s">
        <v>103</v>
      </c>
      <c r="B46" s="7" t="s">
        <v>35</v>
      </c>
      <c r="C46" s="4">
        <v>4.0150307774176799</v>
      </c>
      <c r="D46" s="4">
        <f t="shared" si="51"/>
        <v>10352.155273437378</v>
      </c>
      <c r="E46" s="13">
        <f t="shared" si="52"/>
        <v>8.1264418896483424</v>
      </c>
      <c r="F46" s="13">
        <f t="shared" si="53"/>
        <v>-66.887306697850164</v>
      </c>
      <c r="G46" s="13">
        <f t="shared" si="2"/>
        <v>-2.2242330587805776</v>
      </c>
      <c r="H46" s="4">
        <v>4.29371879525719</v>
      </c>
      <c r="I46" s="9">
        <f t="shared" si="57"/>
        <v>19666.124999999836</v>
      </c>
      <c r="J46" s="13">
        <f t="shared" si="58"/>
        <v>15.437908124999872</v>
      </c>
      <c r="K46" s="13">
        <f t="shared" si="59"/>
        <v>9.1521993365916821</v>
      </c>
      <c r="L46" s="13">
        <f t="shared" si="3"/>
        <v>0.56264711961451908</v>
      </c>
      <c r="M46" s="3">
        <v>-701</v>
      </c>
      <c r="N46" s="12">
        <v>-502</v>
      </c>
      <c r="O46" s="3">
        <f t="shared" si="56"/>
        <v>199</v>
      </c>
      <c r="P46" s="13">
        <v>0.72799999999999998</v>
      </c>
      <c r="Q46" s="13">
        <f t="shared" si="40"/>
        <v>927.38853503184714</v>
      </c>
      <c r="R46" s="13">
        <f t="shared" si="41"/>
        <v>-53.586410404365381</v>
      </c>
      <c r="S46" s="13">
        <f t="shared" si="4"/>
        <v>-1.8635303760367716</v>
      </c>
      <c r="T46" s="43">
        <v>135</v>
      </c>
      <c r="U46" s="43">
        <v>123</v>
      </c>
      <c r="V46" s="4">
        <v>10892</v>
      </c>
      <c r="W46" s="4">
        <v>15452</v>
      </c>
      <c r="X46" s="4">
        <v>21386</v>
      </c>
      <c r="Y46" s="4">
        <v>22841</v>
      </c>
      <c r="Z46" s="4">
        <v>18653</v>
      </c>
      <c r="AA46" s="4">
        <v>12793</v>
      </c>
      <c r="AB46" s="4">
        <v>11460</v>
      </c>
      <c r="AC46" s="4">
        <v>10283</v>
      </c>
      <c r="AD46" s="13">
        <f t="shared" si="42"/>
        <v>-1.2530740343851958</v>
      </c>
      <c r="AE46" s="13">
        <f t="shared" si="43"/>
        <v>-8.5715136807537673E-2</v>
      </c>
      <c r="AF46" s="13">
        <f t="shared" si="44"/>
        <v>1.1900902122947472</v>
      </c>
      <c r="AG46" s="13">
        <f t="shared" si="45"/>
        <v>1.433155127082419</v>
      </c>
      <c r="AH46" s="13">
        <f t="shared" si="46"/>
        <v>0.87668743662698712</v>
      </c>
      <c r="AI46" s="13">
        <f t="shared" si="47"/>
        <v>8.4952588001921559E-3</v>
      </c>
      <c r="AJ46" s="13">
        <f t="shared" si="48"/>
        <v>-0.78612425426815358</v>
      </c>
      <c r="AK46" s="15">
        <f t="shared" si="54"/>
        <v>8.0721550000000004</v>
      </c>
      <c r="AL46" s="13">
        <f t="shared" si="49"/>
        <v>-39.638237868326364</v>
      </c>
      <c r="AM46" s="13">
        <f t="shared" si="16"/>
        <v>-1.4500435970035594</v>
      </c>
      <c r="AN46" s="17">
        <f t="shared" si="55"/>
        <v>11.175963229166667</v>
      </c>
      <c r="AO46" s="13">
        <f t="shared" si="50"/>
        <v>1.8876514251237153</v>
      </c>
      <c r="AP46" s="13">
        <f t="shared" si="17"/>
        <v>8.2668308515138469E-2</v>
      </c>
      <c r="AQ46" s="10" t="s">
        <v>237</v>
      </c>
      <c r="AR46" s="10" t="s">
        <v>235</v>
      </c>
      <c r="AS46">
        <v>84.08</v>
      </c>
    </row>
    <row r="47" spans="1:45" ht="13" customHeight="1">
      <c r="A47" s="7" t="s">
        <v>104</v>
      </c>
      <c r="B47" s="7" t="s">
        <v>36</v>
      </c>
      <c r="C47" s="4">
        <v>5.8285069966767997</v>
      </c>
      <c r="D47" s="4">
        <f t="shared" si="51"/>
        <v>673762.7499999986</v>
      </c>
      <c r="E47" s="13">
        <f t="shared" si="52"/>
        <v>528.90375874999893</v>
      </c>
      <c r="F47" s="13">
        <f t="shared" si="53"/>
        <v>97.435828394932912</v>
      </c>
      <c r="G47" s="13">
        <f t="shared" si="2"/>
        <v>15.91052913381062</v>
      </c>
      <c r="H47" s="4">
        <v>5.4897373229604298</v>
      </c>
      <c r="I47" s="9">
        <f t="shared" si="57"/>
        <v>308842.68749999517</v>
      </c>
      <c r="J47" s="13">
        <f t="shared" si="58"/>
        <v>242.44150968749619</v>
      </c>
      <c r="K47" s="13">
        <f t="shared" si="59"/>
        <v>94.215099543771188</v>
      </c>
      <c r="L47" s="13">
        <f t="shared" si="3"/>
        <v>12.522832396646917</v>
      </c>
      <c r="M47" s="3">
        <v>-485</v>
      </c>
      <c r="N47" s="12">
        <v>-461</v>
      </c>
      <c r="O47" s="3">
        <f t="shared" si="56"/>
        <v>24</v>
      </c>
      <c r="P47" s="13">
        <v>5.0999999999999997E-2</v>
      </c>
      <c r="Q47" s="13">
        <f t="shared" si="40"/>
        <v>64.968152866242036</v>
      </c>
      <c r="R47" s="13">
        <f t="shared" si="41"/>
        <v>89.240512457935935</v>
      </c>
      <c r="S47" s="13">
        <f t="shared" si="4"/>
        <v>9.6820816561142369</v>
      </c>
      <c r="T47" s="43">
        <v>16</v>
      </c>
      <c r="U47" s="43">
        <v>142</v>
      </c>
      <c r="V47" s="4">
        <v>375253</v>
      </c>
      <c r="W47" s="4">
        <v>487410</v>
      </c>
      <c r="X47" s="4">
        <v>399079</v>
      </c>
      <c r="Y47" s="4">
        <v>284957</v>
      </c>
      <c r="Z47" s="4">
        <v>308883</v>
      </c>
      <c r="AA47" s="4">
        <v>386655</v>
      </c>
      <c r="AB47" s="4">
        <v>581820</v>
      </c>
      <c r="AC47" s="4">
        <v>688738</v>
      </c>
      <c r="AD47" s="13">
        <f t="shared" si="42"/>
        <v>14.119091368361437</v>
      </c>
      <c r="AE47" s="13">
        <f t="shared" si="43"/>
        <v>14.903382220363003</v>
      </c>
      <c r="AF47" s="13">
        <f t="shared" si="44"/>
        <v>13.899383340477151</v>
      </c>
      <c r="AG47" s="13">
        <f t="shared" si="45"/>
        <v>12.39379728838642</v>
      </c>
      <c r="AH47" s="13">
        <f t="shared" si="46"/>
        <v>13.067140601188321</v>
      </c>
      <c r="AI47" s="13">
        <f t="shared" si="47"/>
        <v>14.812007565900965</v>
      </c>
      <c r="AJ47" s="13">
        <f t="shared" si="48"/>
        <v>16.269916029356107</v>
      </c>
      <c r="AK47" s="15">
        <f t="shared" si="54"/>
        <v>540.65933000000007</v>
      </c>
      <c r="AL47" s="13">
        <f t="shared" si="49"/>
        <v>97.915172387758474</v>
      </c>
      <c r="AM47" s="13">
        <f t="shared" si="16"/>
        <v>16.80929849633835</v>
      </c>
      <c r="AN47" s="17">
        <f t="shared" si="55"/>
        <v>349.82874921874998</v>
      </c>
      <c r="AO47" s="13">
        <f t="shared" si="50"/>
        <v>96.865609237523373</v>
      </c>
      <c r="AP47" s="13">
        <f t="shared" si="17"/>
        <v>15.038373639387544</v>
      </c>
      <c r="AQ47" s="10" t="s">
        <v>238</v>
      </c>
      <c r="AR47" s="10" t="s">
        <v>235</v>
      </c>
      <c r="AS47">
        <v>116.14</v>
      </c>
    </row>
    <row r="48" spans="1:45" ht="14">
      <c r="A48" s="7" t="s">
        <v>104</v>
      </c>
      <c r="B48" s="7" t="s">
        <v>36</v>
      </c>
      <c r="C48" s="4">
        <v>5.5705715416680199</v>
      </c>
      <c r="D48" s="4">
        <f t="shared" si="51"/>
        <v>372024.49999999773</v>
      </c>
      <c r="E48" s="13">
        <f t="shared" si="52"/>
        <v>292.03923249999826</v>
      </c>
      <c r="F48" s="13">
        <f t="shared" si="53"/>
        <v>95.356103396142132</v>
      </c>
      <c r="G48" s="13">
        <f t="shared" si="2"/>
        <v>13.33117458372282</v>
      </c>
      <c r="H48" s="4">
        <v>5.4846599853068803</v>
      </c>
      <c r="I48" s="9">
        <f t="shared" si="57"/>
        <v>305253.03124999674</v>
      </c>
      <c r="J48" s="13">
        <f t="shared" si="58"/>
        <v>239.62362953124745</v>
      </c>
      <c r="K48" s="13">
        <f t="shared" si="59"/>
        <v>94.147071377127645</v>
      </c>
      <c r="L48" s="13">
        <f t="shared" si="3"/>
        <v>12.472059020111423</v>
      </c>
      <c r="M48" s="3">
        <v>-481</v>
      </c>
      <c r="N48" s="12">
        <v>-456</v>
      </c>
      <c r="O48" s="3">
        <f t="shared" si="56"/>
        <v>25</v>
      </c>
      <c r="P48" s="13">
        <v>7.5999999999999998E-2</v>
      </c>
      <c r="Q48" s="13">
        <f t="shared" si="40"/>
        <v>96.815286624203821</v>
      </c>
      <c r="R48" s="13">
        <f t="shared" si="41"/>
        <v>83.966253858884926</v>
      </c>
      <c r="S48" s="13">
        <f t="shared" si="4"/>
        <v>7.9496474942856867</v>
      </c>
      <c r="T48" s="43">
        <v>21</v>
      </c>
      <c r="U48" s="43">
        <v>152</v>
      </c>
      <c r="V48" s="4">
        <v>123275</v>
      </c>
      <c r="W48" s="4">
        <v>152521</v>
      </c>
      <c r="X48" s="4">
        <v>219264</v>
      </c>
      <c r="Y48" s="4">
        <v>285363</v>
      </c>
      <c r="Z48" s="4">
        <v>193519</v>
      </c>
      <c r="AA48" s="4">
        <v>227662</v>
      </c>
      <c r="AB48" s="4">
        <v>293442</v>
      </c>
      <c r="AC48" s="4">
        <v>385416</v>
      </c>
      <c r="AD48" s="13">
        <f t="shared" si="42"/>
        <v>9.2845997509672884</v>
      </c>
      <c r="AE48" s="13">
        <f t="shared" si="43"/>
        <v>9.8577343089799268</v>
      </c>
      <c r="AF48" s="13">
        <f t="shared" si="44"/>
        <v>11.298467913553294</v>
      </c>
      <c r="AG48" s="13">
        <f t="shared" si="45"/>
        <v>12.399980609660023</v>
      </c>
      <c r="AH48" s="13">
        <f t="shared" si="46"/>
        <v>11.036436645980046</v>
      </c>
      <c r="AI48" s="13">
        <f t="shared" si="47"/>
        <v>12.511676727808936</v>
      </c>
      <c r="AJ48" s="13">
        <f t="shared" si="48"/>
        <v>13.297252309440218</v>
      </c>
      <c r="AK48" s="15">
        <f t="shared" si="54"/>
        <v>302.55155999999999</v>
      </c>
      <c r="AL48" s="13">
        <f t="shared" si="49"/>
        <v>96.274415177366791</v>
      </c>
      <c r="AM48" s="13">
        <f t="shared" si="16"/>
        <v>14.288055443098306</v>
      </c>
      <c r="AN48" s="17">
        <f t="shared" si="55"/>
        <v>199.15799979166667</v>
      </c>
      <c r="AO48" s="13">
        <f t="shared" si="50"/>
        <v>94.494321086037132</v>
      </c>
      <c r="AP48" s="13">
        <f t="shared" si="17"/>
        <v>12.591796225113734</v>
      </c>
      <c r="AQ48" s="10" t="s">
        <v>238</v>
      </c>
      <c r="AR48" s="10" t="s">
        <v>235</v>
      </c>
      <c r="AS48">
        <v>116.14</v>
      </c>
    </row>
    <row r="49" spans="1:45" ht="14">
      <c r="A49" s="7" t="s">
        <v>104</v>
      </c>
      <c r="B49" s="7" t="s">
        <v>36</v>
      </c>
      <c r="C49" s="4">
        <v>5.4423025658546296</v>
      </c>
      <c r="D49" s="4">
        <f t="shared" si="51"/>
        <v>276886.99999999418</v>
      </c>
      <c r="E49" s="13">
        <f t="shared" si="52"/>
        <v>217.35629499999544</v>
      </c>
      <c r="F49" s="13">
        <f t="shared" si="53"/>
        <v>93.76047516820239</v>
      </c>
      <c r="G49" s="13">
        <f t="shared" si="2"/>
        <v>12.048484825588917</v>
      </c>
      <c r="H49" s="4">
        <v>5.3244348047023502</v>
      </c>
      <c r="I49" s="9">
        <f t="shared" si="57"/>
        <v>211074.03124999566</v>
      </c>
      <c r="J49" s="13">
        <f t="shared" si="58"/>
        <v>165.69311453124661</v>
      </c>
      <c r="K49" s="13">
        <f t="shared" si="59"/>
        <v>91.535556537954292</v>
      </c>
      <c r="L49" s="13">
        <f t="shared" si="3"/>
        <v>10.869807214066123</v>
      </c>
      <c r="M49" s="3">
        <v>-485</v>
      </c>
      <c r="N49" s="3">
        <v>-468</v>
      </c>
      <c r="O49" s="3">
        <f t="shared" si="56"/>
        <v>17</v>
      </c>
      <c r="P49" s="13">
        <v>0.104</v>
      </c>
      <c r="Q49" s="13">
        <f t="shared" si="40"/>
        <v>132.484076433121</v>
      </c>
      <c r="R49" s="13">
        <f t="shared" si="41"/>
        <v>78.059084227947807</v>
      </c>
      <c r="S49" s="13">
        <f t="shared" si="4"/>
        <v>6.5874500241057978</v>
      </c>
      <c r="T49" s="43">
        <v>15</v>
      </c>
      <c r="U49" s="43">
        <v>133</v>
      </c>
      <c r="V49" s="4">
        <v>140379</v>
      </c>
      <c r="W49" s="4">
        <v>158849</v>
      </c>
      <c r="X49" s="4">
        <v>204718</v>
      </c>
      <c r="Y49" s="4">
        <v>265717</v>
      </c>
      <c r="Z49" s="4">
        <v>202249</v>
      </c>
      <c r="AA49" s="4">
        <v>217925</v>
      </c>
      <c r="AB49" s="4">
        <v>233408</v>
      </c>
      <c r="AC49" s="4">
        <v>313907</v>
      </c>
      <c r="AD49" s="13">
        <f t="shared" si="42"/>
        <v>9.8488710825248926</v>
      </c>
      <c r="AE49" s="13">
        <f t="shared" si="43"/>
        <v>10.034282720099515</v>
      </c>
      <c r="AF49" s="13">
        <f t="shared" si="44"/>
        <v>11.000354887859555</v>
      </c>
      <c r="AG49" s="13">
        <f t="shared" si="45"/>
        <v>12.090197394285928</v>
      </c>
      <c r="AH49" s="13">
        <f t="shared" si="46"/>
        <v>11.228064363978367</v>
      </c>
      <c r="AI49" s="13">
        <f t="shared" si="47"/>
        <v>12.321841806510488</v>
      </c>
      <c r="AJ49" s="13">
        <f t="shared" si="48"/>
        <v>12.30318694239482</v>
      </c>
      <c r="AK49" s="15">
        <f t="shared" si="54"/>
        <v>246.41699499999999</v>
      </c>
      <c r="AL49" s="13">
        <f t="shared" si="49"/>
        <v>95.425715259615103</v>
      </c>
      <c r="AM49" s="13">
        <f t="shared" si="16"/>
        <v>13.396768048956414</v>
      </c>
      <c r="AN49" s="17">
        <f t="shared" si="55"/>
        <v>178.26771062500001</v>
      </c>
      <c r="AO49" s="13">
        <f t="shared" si="50"/>
        <v>93.849138488648833</v>
      </c>
      <c r="AP49" s="13">
        <f t="shared" si="17"/>
        <v>12.110545538075963</v>
      </c>
      <c r="AQ49" s="10" t="s">
        <v>238</v>
      </c>
      <c r="AR49" s="10" t="s">
        <v>235</v>
      </c>
      <c r="AS49">
        <v>116.14</v>
      </c>
    </row>
    <row r="50" spans="1:45" ht="14">
      <c r="A50" s="7" t="s">
        <v>104</v>
      </c>
      <c r="B50" s="7" t="s">
        <v>36</v>
      </c>
      <c r="C50" s="4">
        <v>5.43286250701005</v>
      </c>
      <c r="D50" s="4">
        <f t="shared" si="51"/>
        <v>270933.37499999942</v>
      </c>
      <c r="E50" s="13">
        <f t="shared" si="52"/>
        <v>212.68269937499957</v>
      </c>
      <c r="F50" s="13">
        <f t="shared" si="53"/>
        <v>93.623364740125083</v>
      </c>
      <c r="G50" s="13">
        <f t="shared" si="2"/>
        <v>11.954084237143121</v>
      </c>
      <c r="H50" s="4">
        <v>5.2354920306091097</v>
      </c>
      <c r="I50" s="9">
        <f t="shared" si="57"/>
        <v>171985.57812499773</v>
      </c>
      <c r="J50" s="13">
        <f t="shared" si="58"/>
        <v>135.00867882812324</v>
      </c>
      <c r="K50" s="13">
        <f t="shared" si="59"/>
        <v>89.611778945074377</v>
      </c>
      <c r="L50" s="13">
        <f t="shared" si="3"/>
        <v>9.9803794731337181</v>
      </c>
      <c r="M50" s="3">
        <v>-493</v>
      </c>
      <c r="N50" s="3">
        <v>-469</v>
      </c>
      <c r="O50" s="3">
        <f t="shared" si="56"/>
        <v>24</v>
      </c>
      <c r="P50" s="13">
        <v>0.151</v>
      </c>
      <c r="Q50" s="13">
        <f t="shared" si="40"/>
        <v>192.35668789808918</v>
      </c>
      <c r="R50" s="13">
        <f t="shared" si="41"/>
        <v>68.143478061731912</v>
      </c>
      <c r="S50" s="13">
        <f t="shared" si="4"/>
        <v>4.9680139441619069</v>
      </c>
      <c r="T50" s="43">
        <v>27</v>
      </c>
      <c r="U50" s="43">
        <v>176</v>
      </c>
      <c r="V50" s="4">
        <v>151812</v>
      </c>
      <c r="W50" s="4">
        <v>217582</v>
      </c>
      <c r="X50" s="4">
        <v>155246</v>
      </c>
      <c r="Y50" s="4">
        <v>215889</v>
      </c>
      <c r="Z50" s="4">
        <v>166506</v>
      </c>
      <c r="AA50" s="4">
        <v>185508</v>
      </c>
      <c r="AB50" s="4">
        <v>156011</v>
      </c>
      <c r="AC50" s="4">
        <v>232989</v>
      </c>
      <c r="AD50" s="13">
        <f t="shared" si="42"/>
        <v>10.188910656757042</v>
      </c>
      <c r="AE50" s="13">
        <f t="shared" si="43"/>
        <v>11.40066751291641</v>
      </c>
      <c r="AF50" s="13">
        <f t="shared" si="44"/>
        <v>9.7989987789454851</v>
      </c>
      <c r="AG50" s="13">
        <f t="shared" si="45"/>
        <v>11.188309135839997</v>
      </c>
      <c r="AH50" s="13">
        <f t="shared" si="46"/>
        <v>10.383499412459088</v>
      </c>
      <c r="AI50" s="13">
        <f t="shared" si="47"/>
        <v>11.62239769221708</v>
      </c>
      <c r="AJ50" s="13">
        <f t="shared" si="48"/>
        <v>10.553581775455093</v>
      </c>
      <c r="AK50" s="15">
        <f t="shared" si="54"/>
        <v>182.89636500000003</v>
      </c>
      <c r="AL50" s="13">
        <f t="shared" si="49"/>
        <v>93.83704810098331</v>
      </c>
      <c r="AM50" s="13">
        <f t="shared" si="16"/>
        <v>12.102112218641885</v>
      </c>
      <c r="AN50" s="17">
        <f t="shared" si="55"/>
        <v>140.17226572916667</v>
      </c>
      <c r="AO50" s="13">
        <f t="shared" si="50"/>
        <v>92.177482511992793</v>
      </c>
      <c r="AP50" s="13">
        <f t="shared" si="17"/>
        <v>11.066439599324697</v>
      </c>
      <c r="AQ50" s="10" t="s">
        <v>238</v>
      </c>
      <c r="AR50" s="10" t="s">
        <v>235</v>
      </c>
      <c r="AS50">
        <v>116.14</v>
      </c>
    </row>
    <row r="51" spans="1:45" ht="13" customHeight="1">
      <c r="A51" s="7" t="s">
        <v>105</v>
      </c>
      <c r="B51" s="7" t="s">
        <v>37</v>
      </c>
      <c r="C51" s="4">
        <v>3.6878289172888801</v>
      </c>
      <c r="D51" s="4">
        <f t="shared" si="51"/>
        <v>4873.3647460937118</v>
      </c>
      <c r="E51" s="13">
        <f t="shared" si="52"/>
        <v>3.8255913256835639</v>
      </c>
      <c r="F51" s="13">
        <f t="shared" si="53"/>
        <v>-254.50728646705917</v>
      </c>
      <c r="G51" s="13">
        <f t="shared" si="2"/>
        <v>-5.496251660068574</v>
      </c>
      <c r="H51" s="4">
        <v>3.6912923758536702</v>
      </c>
      <c r="I51" s="9">
        <f t="shared" si="57"/>
        <v>4912.3847656249172</v>
      </c>
      <c r="J51" s="13">
        <f t="shared" si="58"/>
        <v>3.8562220410155601</v>
      </c>
      <c r="K51" s="13">
        <f t="shared" si="59"/>
        <v>-263.69793675849718</v>
      </c>
      <c r="L51" s="13">
        <f t="shared" si="3"/>
        <v>-5.4616170744206745</v>
      </c>
      <c r="M51" s="3">
        <v>-590</v>
      </c>
      <c r="N51" s="12">
        <v>-487</v>
      </c>
      <c r="O51" s="3">
        <f t="shared" si="56"/>
        <v>103</v>
      </c>
      <c r="P51" s="13">
        <v>2.9409999999999998</v>
      </c>
      <c r="Q51" s="13">
        <f t="shared" si="40"/>
        <v>3746.496815286624</v>
      </c>
      <c r="R51" s="13">
        <f t="shared" si="41"/>
        <v>-520.46378159236065</v>
      </c>
      <c r="S51" s="13">
        <f t="shared" si="4"/>
        <v>-7.9271668279770928</v>
      </c>
      <c r="T51" s="43">
        <v>230</v>
      </c>
      <c r="U51" s="43">
        <v>131</v>
      </c>
      <c r="V51" s="4">
        <v>5988</v>
      </c>
      <c r="W51" s="4">
        <v>5536</v>
      </c>
      <c r="X51" s="4">
        <v>5015</v>
      </c>
      <c r="Y51" s="4">
        <v>5413</v>
      </c>
      <c r="Z51" s="4">
        <v>4449</v>
      </c>
      <c r="AA51" s="4">
        <v>4142</v>
      </c>
      <c r="AB51" s="4">
        <v>4522</v>
      </c>
      <c r="AC51" s="4">
        <v>4923</v>
      </c>
      <c r="AD51" s="13">
        <f t="shared" si="42"/>
        <v>-3.851332444354318</v>
      </c>
      <c r="AE51" s="13">
        <f t="shared" si="43"/>
        <v>-4.5436013170483509</v>
      </c>
      <c r="AF51" s="13">
        <f t="shared" si="44"/>
        <v>-5.1084960390161251</v>
      </c>
      <c r="AG51" s="13">
        <f t="shared" si="45"/>
        <v>-4.8196157400282846</v>
      </c>
      <c r="AH51" s="13">
        <f t="shared" si="46"/>
        <v>-5.3481754081800572</v>
      </c>
      <c r="AI51" s="13">
        <f t="shared" si="47"/>
        <v>-4.8891277944922038</v>
      </c>
      <c r="AJ51" s="13">
        <f t="shared" si="48"/>
        <v>-4.8246648504884568</v>
      </c>
      <c r="AK51" s="15">
        <f t="shared" si="54"/>
        <v>3.8645550000000002</v>
      </c>
      <c r="AL51" s="13">
        <f t="shared" si="49"/>
        <v>-191.6717448710136</v>
      </c>
      <c r="AM51" s="13">
        <f t="shared" si="16"/>
        <v>-4.6489435973211366</v>
      </c>
      <c r="AN51" s="17">
        <f t="shared" si="55"/>
        <v>3.5411186458333335</v>
      </c>
      <c r="AO51" s="13">
        <f t="shared" si="50"/>
        <v>-209.64791346096229</v>
      </c>
      <c r="AP51" s="13">
        <f t="shared" si="17"/>
        <v>-4.9087765523512692</v>
      </c>
      <c r="AQ51" s="10" t="s">
        <v>240</v>
      </c>
      <c r="AR51" s="10" t="s">
        <v>236</v>
      </c>
      <c r="AS51">
        <v>90.03</v>
      </c>
    </row>
    <row r="52" spans="1:45" ht="14">
      <c r="A52" s="7" t="s">
        <v>105</v>
      </c>
      <c r="B52" s="7" t="s">
        <v>37</v>
      </c>
      <c r="C52" s="4">
        <v>3.69939815008664</v>
      </c>
      <c r="D52" s="4">
        <f t="shared" si="51"/>
        <v>5004.9316406249218</v>
      </c>
      <c r="E52" s="13">
        <f t="shared" si="52"/>
        <v>3.9288713378905635</v>
      </c>
      <c r="F52" s="13">
        <f t="shared" si="53"/>
        <v>-245.18819359662527</v>
      </c>
      <c r="G52" s="13">
        <f t="shared" si="2"/>
        <v>-5.3805593320909759</v>
      </c>
      <c r="H52" s="4">
        <v>3.79545627177722</v>
      </c>
      <c r="I52" s="9">
        <f t="shared" si="57"/>
        <v>6243.90478515614</v>
      </c>
      <c r="J52" s="13">
        <f t="shared" si="58"/>
        <v>4.9014652563475698</v>
      </c>
      <c r="K52" s="13">
        <f t="shared" si="59"/>
        <v>-186.13892512727966</v>
      </c>
      <c r="L52" s="13">
        <f t="shared" si="3"/>
        <v>-4.4199781151851809</v>
      </c>
      <c r="M52" s="3">
        <v>-577</v>
      </c>
      <c r="N52" s="12">
        <v>-486</v>
      </c>
      <c r="O52" s="3">
        <f t="shared" si="56"/>
        <v>91</v>
      </c>
      <c r="P52" s="13">
        <v>2.476</v>
      </c>
      <c r="Q52" s="13">
        <f t="shared" si="40"/>
        <v>3154.1401273885349</v>
      </c>
      <c r="R52" s="13">
        <f t="shared" si="41"/>
        <v>-422.36257165001189</v>
      </c>
      <c r="S52" s="13">
        <f t="shared" si="4"/>
        <v>-7.179722986387203</v>
      </c>
      <c r="T52" s="43">
        <v>214</v>
      </c>
      <c r="U52" s="43">
        <v>120</v>
      </c>
      <c r="V52" s="4">
        <v>6791</v>
      </c>
      <c r="W52" s="4">
        <v>8491</v>
      </c>
      <c r="X52" s="4">
        <v>7095</v>
      </c>
      <c r="Y52" s="4">
        <v>3059</v>
      </c>
      <c r="Z52" s="4">
        <v>2134</v>
      </c>
      <c r="AA52" s="4">
        <v>2244</v>
      </c>
      <c r="AB52" s="4">
        <v>2826</v>
      </c>
      <c r="AC52" s="4">
        <v>2919</v>
      </c>
      <c r="AD52" s="13">
        <f t="shared" si="42"/>
        <v>-3.3048130563970113</v>
      </c>
      <c r="AE52" s="13">
        <f t="shared" si="43"/>
        <v>-2.6859737227270668</v>
      </c>
      <c r="AF52" s="13">
        <f t="shared" si="44"/>
        <v>-3.6016814146455656</v>
      </c>
      <c r="AG52" s="13">
        <f t="shared" si="45"/>
        <v>-7.2982012410921113</v>
      </c>
      <c r="AH52" s="13">
        <f t="shared" si="46"/>
        <v>-8.53885531477599</v>
      </c>
      <c r="AI52" s="13">
        <f t="shared" si="47"/>
        <v>-7.5510002142253043</v>
      </c>
      <c r="AJ52" s="13">
        <f t="shared" si="48"/>
        <v>-6.8662488554564671</v>
      </c>
      <c r="AK52" s="15">
        <f t="shared" si="54"/>
        <v>2.2914149999999998</v>
      </c>
      <c r="AL52" s="13">
        <f t="shared" si="49"/>
        <v>-391.91503939705382</v>
      </c>
      <c r="AM52" s="13">
        <f t="shared" si="16"/>
        <v>-6.91890100516855</v>
      </c>
      <c r="AN52" s="17">
        <f t="shared" si="55"/>
        <v>2.2915131249999998</v>
      </c>
      <c r="AO52" s="13">
        <f t="shared" si="50"/>
        <v>-378.50478709346254</v>
      </c>
      <c r="AP52" s="13">
        <f t="shared" si="17"/>
        <v>-6.798957842761947</v>
      </c>
      <c r="AQ52" s="10" t="s">
        <v>240</v>
      </c>
      <c r="AR52" s="10" t="s">
        <v>236</v>
      </c>
      <c r="AS52">
        <v>90.03</v>
      </c>
    </row>
    <row r="53" spans="1:45" ht="14">
      <c r="A53" s="7" t="s">
        <v>105</v>
      </c>
      <c r="B53" s="7" t="s">
        <v>37</v>
      </c>
      <c r="C53" s="4">
        <v>3.7919179265201199</v>
      </c>
      <c r="D53" s="4">
        <f t="shared" si="51"/>
        <v>6193.2402343748754</v>
      </c>
      <c r="E53" s="13">
        <f t="shared" si="52"/>
        <v>4.8616935839842776</v>
      </c>
      <c r="F53" s="13">
        <f t="shared" si="53"/>
        <v>-178.95628890880465</v>
      </c>
      <c r="G53" s="13">
        <f t="shared" si="2"/>
        <v>-4.4553615677561798</v>
      </c>
      <c r="H53" s="4">
        <v>3.8151016218227598</v>
      </c>
      <c r="I53" s="9">
        <f t="shared" si="57"/>
        <v>6532.8339843750036</v>
      </c>
      <c r="J53" s="13">
        <f t="shared" si="58"/>
        <v>5.1282746777343782</v>
      </c>
      <c r="K53" s="13">
        <f t="shared" si="59"/>
        <v>-173.48379096956072</v>
      </c>
      <c r="L53" s="13">
        <f t="shared" si="3"/>
        <v>-4.223524614729782</v>
      </c>
      <c r="M53" s="3">
        <v>-655</v>
      </c>
      <c r="N53" s="12">
        <v>-491</v>
      </c>
      <c r="O53" s="3">
        <f t="shared" si="56"/>
        <v>164</v>
      </c>
      <c r="P53" s="13">
        <v>2.0920000000000001</v>
      </c>
      <c r="Q53" s="13">
        <f t="shared" si="40"/>
        <v>2664.9681528662418</v>
      </c>
      <c r="R53" s="13">
        <f t="shared" si="41"/>
        <v>-341.34995956858836</v>
      </c>
      <c r="S53" s="13">
        <f t="shared" si="4"/>
        <v>-6.4478333848587654</v>
      </c>
      <c r="T53" s="43">
        <v>194</v>
      </c>
      <c r="U53" s="43">
        <v>108</v>
      </c>
      <c r="V53" s="4">
        <v>6402</v>
      </c>
      <c r="W53" s="4">
        <v>9752</v>
      </c>
      <c r="X53" s="4">
        <v>7533</v>
      </c>
      <c r="Y53" s="4">
        <v>6112</v>
      </c>
      <c r="Z53" s="4">
        <v>4103</v>
      </c>
      <c r="AA53" s="4">
        <v>4304</v>
      </c>
      <c r="AB53" s="4">
        <v>5636</v>
      </c>
      <c r="AC53" s="4">
        <v>6241</v>
      </c>
      <c r="AD53" s="13">
        <f t="shared" si="42"/>
        <v>-3.5609936629833303</v>
      </c>
      <c r="AE53" s="13">
        <f t="shared" si="43"/>
        <v>-2.0846252054321095</v>
      </c>
      <c r="AF53" s="13">
        <f t="shared" si="44"/>
        <v>-3.3415257382546448</v>
      </c>
      <c r="AG53" s="13">
        <f t="shared" si="45"/>
        <v>-4.2921625552625633</v>
      </c>
      <c r="AH53" s="13">
        <f t="shared" si="46"/>
        <v>-5.6997842959913756</v>
      </c>
      <c r="AI53" s="13">
        <f t="shared" si="47"/>
        <v>-4.722506113483214</v>
      </c>
      <c r="AJ53" s="13">
        <f t="shared" si="48"/>
        <v>-3.8682605862086774</v>
      </c>
      <c r="AK53" s="15">
        <f t="shared" si="54"/>
        <v>4.8991850000000001</v>
      </c>
      <c r="AL53" s="13">
        <f t="shared" si="49"/>
        <v>-130.07530844415959</v>
      </c>
      <c r="AM53" s="13">
        <f t="shared" si="16"/>
        <v>-3.6187001292398646</v>
      </c>
      <c r="AN53" s="17">
        <f t="shared" si="55"/>
        <v>4.1048304166666663</v>
      </c>
      <c r="AO53" s="13">
        <f t="shared" si="50"/>
        <v>-167.12431177374057</v>
      </c>
      <c r="AP53" s="13">
        <f t="shared" si="17"/>
        <v>-4.2672291358577228</v>
      </c>
      <c r="AQ53" s="10" t="s">
        <v>240</v>
      </c>
      <c r="AR53" s="10" t="s">
        <v>236</v>
      </c>
      <c r="AS53">
        <v>90.03</v>
      </c>
    </row>
    <row r="54" spans="1:45" ht="13" customHeight="1">
      <c r="A54" s="8" t="s">
        <v>149</v>
      </c>
      <c r="B54" s="8" t="s">
        <v>38</v>
      </c>
      <c r="C54" s="4">
        <v>3.9405043254818102</v>
      </c>
      <c r="D54" s="4">
        <f t="shared" si="51"/>
        <v>8719.7558593749127</v>
      </c>
      <c r="E54" s="13">
        <f t="shared" si="52"/>
        <v>6.8450083496093068</v>
      </c>
      <c r="F54" s="13">
        <f t="shared" si="53"/>
        <v>-98.12978023283317</v>
      </c>
      <c r="G54" s="13">
        <f t="shared" si="2"/>
        <v>-2.9694975781392774</v>
      </c>
      <c r="H54" s="4">
        <v>4.0724667852741403</v>
      </c>
      <c r="I54" s="9">
        <f t="shared" si="57"/>
        <v>11815.89941406248</v>
      </c>
      <c r="J54" s="13">
        <f t="shared" si="58"/>
        <v>9.2754810400390468</v>
      </c>
      <c r="K54" s="13">
        <f t="shared" si="59"/>
        <v>-51.205095880838101</v>
      </c>
      <c r="L54" s="13">
        <f t="shared" si="3"/>
        <v>-1.6498729802159773</v>
      </c>
      <c r="M54" s="3">
        <v>-515</v>
      </c>
      <c r="N54" s="12">
        <v>-490</v>
      </c>
      <c r="O54" s="3">
        <f t="shared" si="56"/>
        <v>25</v>
      </c>
      <c r="P54" s="13">
        <v>0.7</v>
      </c>
      <c r="Q54" s="13">
        <f t="shared" si="40"/>
        <v>891.71974522292987</v>
      </c>
      <c r="R54" s="13">
        <f t="shared" si="41"/>
        <v>-47.679240773428248</v>
      </c>
      <c r="S54" s="13">
        <f t="shared" si="4"/>
        <v>-1.693196983048967</v>
      </c>
      <c r="T54" s="43">
        <v>28</v>
      </c>
      <c r="U54" s="43">
        <v>114</v>
      </c>
      <c r="V54" s="4">
        <v>6139</v>
      </c>
      <c r="W54" s="4">
        <v>6540</v>
      </c>
      <c r="X54" s="4">
        <v>10111</v>
      </c>
      <c r="Y54" s="4">
        <v>13392</v>
      </c>
      <c r="Z54" s="4">
        <v>9846</v>
      </c>
      <c r="AA54" s="4">
        <v>6890</v>
      </c>
      <c r="AB54" s="4">
        <v>6618</v>
      </c>
      <c r="AC54" s="4">
        <v>8628</v>
      </c>
      <c r="AD54" s="13">
        <f t="shared" si="42"/>
        <v>-3.7431740272614924</v>
      </c>
      <c r="AE54" s="13">
        <f t="shared" si="43"/>
        <v>-3.8197846482926923</v>
      </c>
      <c r="AF54" s="13">
        <f t="shared" si="44"/>
        <v>-2.0632643086933729</v>
      </c>
      <c r="AG54" s="13">
        <f t="shared" si="45"/>
        <v>-0.88554160444705043</v>
      </c>
      <c r="AH54" s="13">
        <f t="shared" si="46"/>
        <v>-1.8982011512931334</v>
      </c>
      <c r="AI54" s="13">
        <f t="shared" si="47"/>
        <v>-2.6790365209902847</v>
      </c>
      <c r="AJ54" s="13">
        <f t="shared" si="48"/>
        <v>-3.1707028023435231</v>
      </c>
      <c r="AK54" s="15">
        <f t="shared" si="54"/>
        <v>6.7729800000000004</v>
      </c>
      <c r="AL54" s="13">
        <f t="shared" si="49"/>
        <v>-66.423273064441332</v>
      </c>
      <c r="AM54" s="13">
        <f t="shared" si="16"/>
        <v>-2.2121405907436191</v>
      </c>
      <c r="AN54" s="17">
        <f t="shared" si="55"/>
        <v>6.3641830729166671</v>
      </c>
      <c r="AO54" s="13">
        <f t="shared" si="50"/>
        <v>-72.292340970870384</v>
      </c>
      <c r="AP54" s="13">
        <f t="shared" si="17"/>
        <v>-2.3627546922803306</v>
      </c>
      <c r="AQ54" s="10" t="s">
        <v>239</v>
      </c>
      <c r="AR54" s="10" t="s">
        <v>235</v>
      </c>
      <c r="AS54">
        <v>128.09</v>
      </c>
    </row>
    <row r="55" spans="1:45" ht="13">
      <c r="A55" s="8" t="s">
        <v>149</v>
      </c>
      <c r="B55" s="8" t="s">
        <v>38</v>
      </c>
      <c r="C55" s="4">
        <v>4.07477534802974</v>
      </c>
      <c r="D55" s="4">
        <f t="shared" si="51"/>
        <v>11878.875976562436</v>
      </c>
      <c r="E55" s="13">
        <f t="shared" si="52"/>
        <v>9.3249176416015125</v>
      </c>
      <c r="F55" s="13">
        <f t="shared" si="53"/>
        <v>-45.438281829916384</v>
      </c>
      <c r="G55" s="13">
        <f t="shared" ref="G55:G118" si="60">10*LOG10(E55/13.562)</f>
        <v>-1.6267873526599779</v>
      </c>
      <c r="H55" s="4">
        <v>4.0021097203442197</v>
      </c>
      <c r="I55" s="9">
        <f t="shared" si="57"/>
        <v>10048.6962890623</v>
      </c>
      <c r="J55" s="13">
        <f t="shared" si="58"/>
        <v>7.8882265869139054</v>
      </c>
      <c r="K55" s="13">
        <f t="shared" si="59"/>
        <v>-77.796616837384391</v>
      </c>
      <c r="L55" s="13">
        <f t="shared" ref="L55:L118" si="61">10*LOG10(J55/13.562)</f>
        <v>-2.3534436295151835</v>
      </c>
      <c r="M55" s="3">
        <v>-550</v>
      </c>
      <c r="N55" s="12">
        <v>-491</v>
      </c>
      <c r="O55" s="3">
        <f t="shared" si="56"/>
        <v>59</v>
      </c>
      <c r="P55" s="13">
        <v>0.85199999999999998</v>
      </c>
      <c r="Q55" s="13">
        <f t="shared" si="40"/>
        <v>1085.3503184713375</v>
      </c>
      <c r="R55" s="13">
        <f t="shared" si="41"/>
        <v>-79.746733055658353</v>
      </c>
      <c r="S55" s="13">
        <f t="shared" ref="S55:S118" si="62">10*LOG10(603.8216561/Q55)</f>
        <v>-2.5466125305734</v>
      </c>
      <c r="T55" s="43">
        <v>142</v>
      </c>
      <c r="U55" s="43">
        <v>124</v>
      </c>
      <c r="V55" s="4">
        <v>3553</v>
      </c>
      <c r="W55" s="4">
        <v>10521</v>
      </c>
      <c r="X55" s="4">
        <v>11052</v>
      </c>
      <c r="Y55" s="4">
        <v>8112</v>
      </c>
      <c r="Z55" s="4">
        <v>8800</v>
      </c>
      <c r="AA55" s="4">
        <v>5838</v>
      </c>
      <c r="AB55" s="4">
        <v>5680</v>
      </c>
      <c r="AC55" s="4">
        <v>10909</v>
      </c>
      <c r="AD55" s="13">
        <f t="shared" si="42"/>
        <v>-6.1181982861711868</v>
      </c>
      <c r="AE55" s="13">
        <f t="shared" si="43"/>
        <v>-1.7549919255237154</v>
      </c>
      <c r="AF55" s="13">
        <f t="shared" si="44"/>
        <v>-1.6767966501357563</v>
      </c>
      <c r="AG55" s="13">
        <f t="shared" si="45"/>
        <v>-3.0627165910462906</v>
      </c>
      <c r="AH55" s="13">
        <f t="shared" si="46"/>
        <v>-2.3859727441588152</v>
      </c>
      <c r="AI55" s="13">
        <f t="shared" si="47"/>
        <v>-3.3985878335465864</v>
      </c>
      <c r="AJ55" s="13">
        <f t="shared" si="48"/>
        <v>-3.8344870734716769</v>
      </c>
      <c r="AK55" s="15">
        <f t="shared" ref="AK55:AK86" si="63">AC55*0.785/1000</f>
        <v>8.5635650000000005</v>
      </c>
      <c r="AL55" s="13">
        <f t="shared" si="49"/>
        <v>-31.625263543862857</v>
      </c>
      <c r="AM55" s="13">
        <f t="shared" si="16"/>
        <v>-1.1933925375123178</v>
      </c>
      <c r="AN55" s="17">
        <f t="shared" ref="AN55:AN86" si="64">(0.785/24000)*(AVERAGE(V55:W55)*0.5+AVERAGE(W55:X55)*1+AVERAGE(X55:Y55)*1+AVERAGE(Y55:Z55)*3+AVERAGE(Z55:AA55)*6+AVERAGE(AA55:AB55)*6+AVERAGE(AB55:AC55)*6)</f>
        <v>5.8054020833333331</v>
      </c>
      <c r="AO55" s="13">
        <f t="shared" si="50"/>
        <v>-88.875806405887062</v>
      </c>
      <c r="AP55" s="13">
        <f t="shared" si="17"/>
        <v>-2.7618582891296857</v>
      </c>
      <c r="AQ55" s="10" t="s">
        <v>239</v>
      </c>
      <c r="AR55" s="10" t="s">
        <v>235</v>
      </c>
      <c r="AS55">
        <v>128.09</v>
      </c>
    </row>
    <row r="56" spans="1:45" ht="13">
      <c r="A56" s="8" t="s">
        <v>149</v>
      </c>
      <c r="B56" s="8" t="s">
        <v>38</v>
      </c>
      <c r="C56" s="4">
        <v>4.0277476162277699</v>
      </c>
      <c r="D56" s="4">
        <f t="shared" si="51"/>
        <v>10659.764648437427</v>
      </c>
      <c r="E56" s="13">
        <f t="shared" si="52"/>
        <v>8.3679152490233815</v>
      </c>
      <c r="F56" s="13">
        <f t="shared" si="53"/>
        <v>-62.071431131939583</v>
      </c>
      <c r="G56" s="13">
        <f t="shared" si="60"/>
        <v>-2.0970646706796767</v>
      </c>
      <c r="H56" s="4">
        <v>3.96912038702617</v>
      </c>
      <c r="I56" s="9">
        <f t="shared" si="57"/>
        <v>9313.6601562500018</v>
      </c>
      <c r="J56" s="13">
        <f t="shared" si="58"/>
        <v>7.3112232226562517</v>
      </c>
      <c r="K56" s="13">
        <f t="shared" si="59"/>
        <v>-91.828365416868721</v>
      </c>
      <c r="L56" s="13">
        <f t="shared" si="61"/>
        <v>-2.6833369626956776</v>
      </c>
      <c r="M56" s="3">
        <v>-511</v>
      </c>
      <c r="N56" s="12">
        <v>-492</v>
      </c>
      <c r="O56" s="3">
        <f t="shared" si="56"/>
        <v>19</v>
      </c>
      <c r="P56" s="13">
        <v>0.81599999999999995</v>
      </c>
      <c r="Q56" s="13">
        <f t="shared" si="40"/>
        <v>1039.4904458598726</v>
      </c>
      <c r="R56" s="13">
        <f t="shared" si="41"/>
        <v>-72.151800673024937</v>
      </c>
      <c r="S56" s="13">
        <f t="shared" si="62"/>
        <v>-2.359118170445011</v>
      </c>
      <c r="T56" s="43">
        <v>20</v>
      </c>
      <c r="U56" s="43">
        <v>140</v>
      </c>
      <c r="V56" s="4">
        <v>3611</v>
      </c>
      <c r="W56" s="4">
        <v>7246</v>
      </c>
      <c r="X56" s="4">
        <v>9798</v>
      </c>
      <c r="Y56" s="4">
        <v>8247</v>
      </c>
      <c r="Z56" s="4">
        <v>9187</v>
      </c>
      <c r="AA56" s="4">
        <v>6052</v>
      </c>
      <c r="AB56" s="4">
        <v>5282</v>
      </c>
      <c r="AC56" s="4">
        <v>9780</v>
      </c>
      <c r="AD56" s="13">
        <f t="shared" ref="AD56:AD119" si="65">10*LOG10(V56/14535)</f>
        <v>-6.0478754767961993</v>
      </c>
      <c r="AE56" s="13">
        <f t="shared" ref="AE56:AE119" si="66">10*LOG10(W56/15760)</f>
        <v>-3.374578834550185</v>
      </c>
      <c r="AF56" s="13">
        <f t="shared" ref="AF56:AF119" si="67">10*LOG10(X56/16260)</f>
        <v>-2.1998310613773753</v>
      </c>
      <c r="AG56" s="13">
        <f t="shared" ref="AG56:AG119" si="68">10*LOG10(Y56/16421)</f>
        <v>-2.9910360653075898</v>
      </c>
      <c r="AH56" s="13">
        <f t="shared" ref="AH56:AH119" si="69">10*LOG10(Z56/15243.33333)</f>
        <v>-2.1990623019079858</v>
      </c>
      <c r="AI56" s="13">
        <f t="shared" ref="AI56:AI119" si="70">10*LOG10(AA56/12768)</f>
        <v>-3.2422395465550506</v>
      </c>
      <c r="AJ56" s="13">
        <f t="shared" ref="AJ56:AJ119" si="71">10*LOG10(AB56/13734)</f>
        <v>-4.1499864618728131</v>
      </c>
      <c r="AK56" s="15">
        <f t="shared" si="63"/>
        <v>7.6772999999999998</v>
      </c>
      <c r="AL56" s="13">
        <f t="shared" si="49"/>
        <v>-46.820040899795501</v>
      </c>
      <c r="AM56" s="13">
        <f t="shared" ref="AM56:AM119" si="72">10*LOG10(AK56/11.271815)</f>
        <v>-1.6678534071726787</v>
      </c>
      <c r="AN56" s="17">
        <f t="shared" si="64"/>
        <v>5.6034199479166666</v>
      </c>
      <c r="AO56" s="13">
        <f t="shared" si="50"/>
        <v>-95.68406619383849</v>
      </c>
      <c r="AP56" s="13">
        <f t="shared" ref="AP56:AP119" si="73">10*LOG10(AN56/10.96523979)</f>
        <v>-2.9156496149682183</v>
      </c>
      <c r="AQ56" s="10" t="s">
        <v>239</v>
      </c>
      <c r="AR56" s="10" t="s">
        <v>235</v>
      </c>
      <c r="AS56">
        <v>128.09</v>
      </c>
    </row>
    <row r="57" spans="1:45" ht="13" customHeight="1">
      <c r="A57" s="7" t="s">
        <v>106</v>
      </c>
      <c r="B57" s="7" t="s">
        <v>39</v>
      </c>
      <c r="C57" s="4">
        <v>4.9573072068884798</v>
      </c>
      <c r="D57" s="4">
        <f t="shared" si="51"/>
        <v>90637.35156250016</v>
      </c>
      <c r="E57" s="13">
        <f t="shared" si="52"/>
        <v>71.150320976562625</v>
      </c>
      <c r="F57" s="13">
        <f t="shared" si="53"/>
        <v>80.93894754955862</v>
      </c>
      <c r="G57" s="13">
        <f t="shared" si="60"/>
        <v>7.1985312359274225</v>
      </c>
      <c r="H57" s="4">
        <v>4.9887732087289196</v>
      </c>
      <c r="I57" s="9">
        <f t="shared" si="57"/>
        <v>97448.062499999069</v>
      </c>
      <c r="J57" s="13">
        <f t="shared" si="58"/>
        <v>76.49672906249927</v>
      </c>
      <c r="K57" s="13">
        <f t="shared" si="59"/>
        <v>81.665882748344302</v>
      </c>
      <c r="L57" s="13">
        <f t="shared" si="61"/>
        <v>7.513191254331816</v>
      </c>
      <c r="M57" s="3">
        <v>-563</v>
      </c>
      <c r="N57" s="12">
        <v>-520</v>
      </c>
      <c r="O57" s="3">
        <f t="shared" si="56"/>
        <v>43</v>
      </c>
      <c r="P57" s="13">
        <v>0.125</v>
      </c>
      <c r="Q57" s="13">
        <f t="shared" si="40"/>
        <v>159.2356687898089</v>
      </c>
      <c r="R57" s="13">
        <f t="shared" si="41"/>
        <v>73.628707004744953</v>
      </c>
      <c r="S57" s="13">
        <f t="shared" si="62"/>
        <v>5.7886832870130362</v>
      </c>
      <c r="T57" s="43">
        <v>33</v>
      </c>
      <c r="U57" s="43">
        <v>137</v>
      </c>
      <c r="V57" s="4">
        <v>34353</v>
      </c>
      <c r="W57" s="4">
        <v>38894</v>
      </c>
      <c r="X57" s="4">
        <v>18217</v>
      </c>
      <c r="Y57" s="4">
        <v>36390</v>
      </c>
      <c r="Z57" s="4">
        <v>132847</v>
      </c>
      <c r="AA57" s="4">
        <v>102166</v>
      </c>
      <c r="AB57" s="4">
        <v>106472</v>
      </c>
      <c r="AC57" s="4">
        <v>109056</v>
      </c>
      <c r="AD57" s="13">
        <f t="shared" si="65"/>
        <v>3.7354963328197712</v>
      </c>
      <c r="AE57" s="13">
        <f t="shared" si="66"/>
        <v>3.9232639671019247</v>
      </c>
      <c r="AF57" s="13">
        <f t="shared" si="67"/>
        <v>0.49356317069373645</v>
      </c>
      <c r="AG57" s="13">
        <f t="shared" si="68"/>
        <v>3.4558245449234559</v>
      </c>
      <c r="AH57" s="13">
        <f t="shared" si="69"/>
        <v>9.4027180489265341</v>
      </c>
      <c r="AI57" s="13">
        <f t="shared" si="70"/>
        <v>9.0318351622339375</v>
      </c>
      <c r="AJ57" s="13">
        <f t="shared" si="71"/>
        <v>8.8943836899541076</v>
      </c>
      <c r="AK57" s="15">
        <f t="shared" si="63"/>
        <v>85.60896000000001</v>
      </c>
      <c r="AL57" s="13">
        <f t="shared" si="49"/>
        <v>86.833370011737088</v>
      </c>
      <c r="AM57" s="13">
        <f t="shared" si="72"/>
        <v>8.8052536890969932</v>
      </c>
      <c r="AN57" s="17">
        <f t="shared" si="64"/>
        <v>75.411131302083334</v>
      </c>
      <c r="AO57" s="13">
        <f t="shared" si="50"/>
        <v>85.459706265277745</v>
      </c>
      <c r="AP57" s="13">
        <f t="shared" si="73"/>
        <v>8.3741732267871463</v>
      </c>
      <c r="AQ57" s="10" t="s">
        <v>238</v>
      </c>
      <c r="AR57" s="10" t="s">
        <v>235</v>
      </c>
      <c r="AS57">
        <v>114.17</v>
      </c>
    </row>
    <row r="58" spans="1:45" ht="14">
      <c r="A58" s="7" t="s">
        <v>106</v>
      </c>
      <c r="B58" s="7" t="s">
        <v>39</v>
      </c>
      <c r="C58" s="4">
        <v>4.7445214717003399</v>
      </c>
      <c r="D58" s="4">
        <f t="shared" si="51"/>
        <v>55529.207031249134</v>
      </c>
      <c r="E58" s="13">
        <f t="shared" si="52"/>
        <v>43.590427519530571</v>
      </c>
      <c r="F58" s="13">
        <f t="shared" si="53"/>
        <v>68.887664627919548</v>
      </c>
      <c r="G58" s="13">
        <f t="shared" si="60"/>
        <v>5.0706738840460188</v>
      </c>
      <c r="H58" s="4">
        <v>4.6610478650148801</v>
      </c>
      <c r="I58" s="9">
        <f t="shared" si="57"/>
        <v>45819.238281249185</v>
      </c>
      <c r="J58" s="13">
        <f t="shared" si="58"/>
        <v>35.968102050780608</v>
      </c>
      <c r="K58" s="13">
        <f t="shared" si="59"/>
        <v>61.007116860936449</v>
      </c>
      <c r="L58" s="13">
        <f t="shared" si="61"/>
        <v>4.235937817191421</v>
      </c>
      <c r="M58" s="3">
        <v>-620</v>
      </c>
      <c r="N58" s="12">
        <v>-505</v>
      </c>
      <c r="O58" s="3">
        <f t="shared" si="56"/>
        <v>115</v>
      </c>
      <c r="P58" s="13">
        <v>0.17899999999999999</v>
      </c>
      <c r="Q58" s="13">
        <f t="shared" si="40"/>
        <v>228.02547770700636</v>
      </c>
      <c r="R58" s="13">
        <f t="shared" si="41"/>
        <v>62.236308430794772</v>
      </c>
      <c r="S58" s="13">
        <f t="shared" si="62"/>
        <v>4.2292531072946691</v>
      </c>
      <c r="T58" s="43">
        <v>174</v>
      </c>
      <c r="U58" s="43">
        <v>124</v>
      </c>
      <c r="V58" s="4">
        <v>27449</v>
      </c>
      <c r="W58" s="4">
        <v>49594</v>
      </c>
      <c r="X58" s="4">
        <v>36431</v>
      </c>
      <c r="Y58" s="4">
        <v>65364</v>
      </c>
      <c r="Z58" s="4">
        <v>89224</v>
      </c>
      <c r="AA58" s="4">
        <v>84530</v>
      </c>
      <c r="AB58" s="4">
        <v>73473</v>
      </c>
      <c r="AC58" s="4">
        <v>68928</v>
      </c>
      <c r="AD58" s="13">
        <f t="shared" si="65"/>
        <v>2.7611149109887205</v>
      </c>
      <c r="AE58" s="13">
        <f t="shared" si="66"/>
        <v>4.9787292453603591</v>
      </c>
      <c r="AF58" s="13">
        <f t="shared" si="67"/>
        <v>3.5035055116205323</v>
      </c>
      <c r="AG58" s="13">
        <f t="shared" si="68"/>
        <v>5.9993902022686711</v>
      </c>
      <c r="AH58" s="13">
        <f t="shared" si="69"/>
        <v>7.6740174262633687</v>
      </c>
      <c r="AI58" s="13">
        <f t="shared" si="70"/>
        <v>8.2088799496899689</v>
      </c>
      <c r="AJ58" s="13">
        <f t="shared" si="71"/>
        <v>7.2833072996770785</v>
      </c>
      <c r="AK58" s="15">
        <f t="shared" si="63"/>
        <v>54.10848</v>
      </c>
      <c r="AL58" s="13">
        <f t="shared" si="49"/>
        <v>79.168117455896009</v>
      </c>
      <c r="AM58" s="13">
        <f t="shared" si="72"/>
        <v>6.8127148177699945</v>
      </c>
      <c r="AN58" s="17">
        <f t="shared" si="64"/>
        <v>57.812854114583331</v>
      </c>
      <c r="AO58" s="13">
        <f t="shared" si="50"/>
        <v>81.033629686803394</v>
      </c>
      <c r="AP58" s="13">
        <f t="shared" si="73"/>
        <v>7.2200627687274919</v>
      </c>
      <c r="AQ58" s="10" t="s">
        <v>238</v>
      </c>
      <c r="AR58" s="10" t="s">
        <v>235</v>
      </c>
      <c r="AS58">
        <v>114.17</v>
      </c>
    </row>
    <row r="59" spans="1:45" ht="14">
      <c r="A59" s="7" t="s">
        <v>106</v>
      </c>
      <c r="B59" s="7" t="s">
        <v>39</v>
      </c>
      <c r="C59" s="4">
        <v>4.6327156392103301</v>
      </c>
      <c r="D59" s="4">
        <f t="shared" si="51"/>
        <v>42925.527343749978</v>
      </c>
      <c r="E59" s="13">
        <f t="shared" si="52"/>
        <v>33.696538964843732</v>
      </c>
      <c r="F59" s="13">
        <f t="shared" si="53"/>
        <v>59.752543090109334</v>
      </c>
      <c r="G59" s="13">
        <f t="shared" si="60"/>
        <v>3.9526155591459258</v>
      </c>
      <c r="H59" s="4">
        <v>4.72553703721087</v>
      </c>
      <c r="I59" s="9">
        <f t="shared" si="57"/>
        <v>53154.132812499753</v>
      </c>
      <c r="J59" s="13">
        <f t="shared" si="58"/>
        <v>41.72599425781231</v>
      </c>
      <c r="K59" s="13">
        <f t="shared" si="59"/>
        <v>66.387859056530175</v>
      </c>
      <c r="L59" s="13">
        <f t="shared" si="61"/>
        <v>4.8808295391513248</v>
      </c>
      <c r="M59" s="3">
        <v>-644</v>
      </c>
      <c r="N59" s="12">
        <v>-475</v>
      </c>
      <c r="O59" s="3">
        <f t="shared" si="56"/>
        <v>169</v>
      </c>
      <c r="P59" s="13">
        <v>0.26900000000000002</v>
      </c>
      <c r="Q59" s="13">
        <f t="shared" si="40"/>
        <v>342.67515923566879</v>
      </c>
      <c r="R59" s="13">
        <f t="shared" si="41"/>
        <v>43.248977474211145</v>
      </c>
      <c r="S59" s="13">
        <f t="shared" si="62"/>
        <v>2.4602606170695207</v>
      </c>
      <c r="T59" s="43">
        <v>151</v>
      </c>
      <c r="U59" s="43">
        <v>125</v>
      </c>
      <c r="V59" s="4">
        <v>28897</v>
      </c>
      <c r="W59" s="4">
        <v>38788</v>
      </c>
      <c r="X59" s="4">
        <v>33337</v>
      </c>
      <c r="Y59" s="4">
        <v>49962</v>
      </c>
      <c r="Z59" s="4">
        <v>55469</v>
      </c>
      <c r="AA59" s="4">
        <v>56210</v>
      </c>
      <c r="AB59" s="4">
        <v>52454</v>
      </c>
      <c r="AC59" s="4">
        <v>42506</v>
      </c>
      <c r="AD59" s="13">
        <f t="shared" si="65"/>
        <v>2.9843772183784871</v>
      </c>
      <c r="AE59" s="13">
        <f t="shared" si="66"/>
        <v>3.9114117378457975</v>
      </c>
      <c r="AF59" s="13">
        <f t="shared" si="67"/>
        <v>3.1180597378800861</v>
      </c>
      <c r="AG59" s="13">
        <f t="shared" si="68"/>
        <v>4.8324021394805161</v>
      </c>
      <c r="AH59" s="13">
        <f t="shared" si="69"/>
        <v>5.6097038988432608</v>
      </c>
      <c r="AI59" s="13">
        <f t="shared" si="70"/>
        <v>6.4369071128628352</v>
      </c>
      <c r="AJ59" s="13">
        <f t="shared" si="71"/>
        <v>5.8198156885536889</v>
      </c>
      <c r="AK59" s="15">
        <f t="shared" si="63"/>
        <v>33.36721</v>
      </c>
      <c r="AL59" s="13">
        <f t="shared" si="49"/>
        <v>66.218886745400653</v>
      </c>
      <c r="AM59" s="13">
        <f t="shared" si="72"/>
        <v>4.7132604238008318</v>
      </c>
      <c r="AN59" s="17">
        <f t="shared" si="64"/>
        <v>39.207111197916667</v>
      </c>
      <c r="AO59" s="13">
        <f t="shared" si="50"/>
        <v>72.033134640680586</v>
      </c>
      <c r="AP59" s="13">
        <f t="shared" si="73"/>
        <v>5.5334671106271385</v>
      </c>
      <c r="AQ59" s="10" t="s">
        <v>238</v>
      </c>
      <c r="AR59" s="10" t="s">
        <v>235</v>
      </c>
      <c r="AS59">
        <v>114.17</v>
      </c>
    </row>
    <row r="60" spans="1:45" ht="13" customHeight="1">
      <c r="A60" s="7" t="s">
        <v>107</v>
      </c>
      <c r="B60" s="7" t="s">
        <v>40</v>
      </c>
      <c r="C60" s="4">
        <v>5.5773356612895304</v>
      </c>
      <c r="D60" s="4">
        <f t="shared" si="51"/>
        <v>377864.12499999587</v>
      </c>
      <c r="E60" s="13">
        <f t="shared" si="52"/>
        <v>296.62333812499674</v>
      </c>
      <c r="F60" s="13">
        <f t="shared" si="53"/>
        <v>95.427871560704716</v>
      </c>
      <c r="G60" s="13">
        <f t="shared" si="60"/>
        <v>13.398815779937925</v>
      </c>
      <c r="H60" s="4">
        <v>5.3920264773960902</v>
      </c>
      <c r="I60" s="9">
        <f t="shared" si="57"/>
        <v>246618.96874999971</v>
      </c>
      <c r="J60" s="13">
        <f t="shared" si="58"/>
        <v>193.59589046874976</v>
      </c>
      <c r="K60" s="13">
        <f t="shared" si="59"/>
        <v>92.755528040372369</v>
      </c>
      <c r="L60" s="13">
        <f t="shared" si="61"/>
        <v>11.545723941003521</v>
      </c>
      <c r="M60" s="3">
        <v>-535</v>
      </c>
      <c r="N60" s="12">
        <v>-483</v>
      </c>
      <c r="O60" s="3">
        <f t="shared" si="56"/>
        <v>52</v>
      </c>
      <c r="P60" s="13">
        <v>3.2000000000000001E-2</v>
      </c>
      <c r="Q60" s="13">
        <f t="shared" si="40"/>
        <v>40.764331210191081</v>
      </c>
      <c r="R60" s="13">
        <f t="shared" si="41"/>
        <v>93.248948993214711</v>
      </c>
      <c r="S60" s="13">
        <f t="shared" si="62"/>
        <v>11.706283633894541</v>
      </c>
      <c r="T60" s="43">
        <v>137</v>
      </c>
      <c r="U60" s="43">
        <v>142</v>
      </c>
      <c r="V60" s="4">
        <v>76152</v>
      </c>
      <c r="W60" s="4">
        <v>132471</v>
      </c>
      <c r="X60" s="4">
        <v>28363</v>
      </c>
      <c r="Y60" s="4">
        <v>29868</v>
      </c>
      <c r="Z60" s="4">
        <v>50757</v>
      </c>
      <c r="AA60" s="4">
        <v>374307</v>
      </c>
      <c r="AB60" s="4">
        <v>518504</v>
      </c>
      <c r="AC60" s="4">
        <v>420665</v>
      </c>
      <c r="AD60" s="13">
        <f t="shared" si="65"/>
        <v>7.192662777055717</v>
      </c>
      <c r="AE60" s="13">
        <f t="shared" si="66"/>
        <v>9.2456460158384299</v>
      </c>
      <c r="AF60" s="13">
        <f t="shared" si="67"/>
        <v>2.4163162370640854</v>
      </c>
      <c r="AG60" s="13">
        <f t="shared" si="68"/>
        <v>2.5980654156232825</v>
      </c>
      <c r="AH60" s="13">
        <f t="shared" si="69"/>
        <v>5.224159985755195</v>
      </c>
      <c r="AI60" s="13">
        <f t="shared" si="70"/>
        <v>14.671050750232011</v>
      </c>
      <c r="AJ60" s="13">
        <f t="shared" si="71"/>
        <v>15.769550680453243</v>
      </c>
      <c r="AK60" s="15">
        <f t="shared" si="63"/>
        <v>330.22202500000003</v>
      </c>
      <c r="AL60" s="13">
        <f t="shared" si="49"/>
        <v>96.586595034053218</v>
      </c>
      <c r="AM60" s="13">
        <f t="shared" si="72"/>
        <v>14.668121840205796</v>
      </c>
      <c r="AN60" s="17">
        <f t="shared" si="64"/>
        <v>230.71665973958332</v>
      </c>
      <c r="AO60" s="13">
        <f t="shared" si="50"/>
        <v>95.247417324619505</v>
      </c>
      <c r="AP60" s="13">
        <f t="shared" si="73"/>
        <v>13.230608221198651</v>
      </c>
      <c r="AQ60" s="10" t="s">
        <v>238</v>
      </c>
      <c r="AR60" s="10" t="s">
        <v>235</v>
      </c>
      <c r="AS60">
        <v>111.16</v>
      </c>
    </row>
    <row r="61" spans="1:45" ht="14">
      <c r="A61" s="7" t="s">
        <v>107</v>
      </c>
      <c r="B61" s="7" t="s">
        <v>40</v>
      </c>
      <c r="C61" s="4">
        <v>5.8495783291275503</v>
      </c>
      <c r="D61" s="4">
        <f t="shared" si="51"/>
        <v>707258.74999998929</v>
      </c>
      <c r="E61" s="13">
        <f t="shared" si="52"/>
        <v>555.19811874999164</v>
      </c>
      <c r="F61" s="13">
        <f t="shared" si="53"/>
        <v>97.557268380063249</v>
      </c>
      <c r="G61" s="13">
        <f t="shared" si="60"/>
        <v>16.121242458318129</v>
      </c>
      <c r="H61" s="4">
        <v>5.7168926318225202</v>
      </c>
      <c r="I61" s="9">
        <f t="shared" si="57"/>
        <v>521065.87499999278</v>
      </c>
      <c r="J61" s="13">
        <f t="shared" si="58"/>
        <v>409.03671187499435</v>
      </c>
      <c r="K61" s="13">
        <f t="shared" si="59"/>
        <v>96.571212413743893</v>
      </c>
      <c r="L61" s="13">
        <f t="shared" si="61"/>
        <v>14.794385485267822</v>
      </c>
      <c r="M61" s="3">
        <v>-547</v>
      </c>
      <c r="N61" s="12">
        <v>-478</v>
      </c>
      <c r="O61" s="3">
        <f t="shared" si="56"/>
        <v>69</v>
      </c>
      <c r="P61" s="13">
        <v>2.5999999999999999E-2</v>
      </c>
      <c r="Q61" s="13">
        <f t="shared" si="40"/>
        <v>33.121019108280251</v>
      </c>
      <c r="R61" s="13">
        <f t="shared" si="41"/>
        <v>94.514771056986959</v>
      </c>
      <c r="S61" s="13">
        <f t="shared" si="62"/>
        <v>12.608049937385422</v>
      </c>
      <c r="T61" s="43">
        <v>172</v>
      </c>
      <c r="U61" s="43">
        <v>151</v>
      </c>
      <c r="V61" s="4">
        <v>35369</v>
      </c>
      <c r="W61" s="4">
        <v>204725</v>
      </c>
      <c r="X61" s="4">
        <v>123010</v>
      </c>
      <c r="Y61" s="4">
        <v>40217</v>
      </c>
      <c r="Z61" s="4">
        <v>718347</v>
      </c>
      <c r="AA61" s="4">
        <v>625097</v>
      </c>
      <c r="AB61" s="4">
        <v>898379</v>
      </c>
      <c r="AC61" s="4">
        <v>819353</v>
      </c>
      <c r="AD61" s="13">
        <f t="shared" si="65"/>
        <v>3.8620774492342163</v>
      </c>
      <c r="AE61" s="13">
        <f t="shared" si="66"/>
        <v>11.136146666320617</v>
      </c>
      <c r="AF61" s="13">
        <f t="shared" si="67"/>
        <v>8.7881987724058543</v>
      </c>
      <c r="AG61" s="13">
        <f t="shared" si="68"/>
        <v>3.890100700390609</v>
      </c>
      <c r="AH61" s="13">
        <f t="shared" si="69"/>
        <v>16.732543358116761</v>
      </c>
      <c r="AI61" s="13">
        <f t="shared" si="70"/>
        <v>16.898245406111194</v>
      </c>
      <c r="AJ61" s="13">
        <f t="shared" si="71"/>
        <v>18.156625484913931</v>
      </c>
      <c r="AK61" s="15">
        <f t="shared" si="63"/>
        <v>643.19210499999997</v>
      </c>
      <c r="AL61" s="13">
        <f t="shared" si="49"/>
        <v>98.247519689315837</v>
      </c>
      <c r="AM61" s="13">
        <f t="shared" si="72"/>
        <v>17.563468526818493</v>
      </c>
      <c r="AN61" s="17">
        <f t="shared" si="64"/>
        <v>497.07856677083333</v>
      </c>
      <c r="AO61" s="13">
        <f t="shared" si="50"/>
        <v>97.79411128682699</v>
      </c>
      <c r="AP61" s="13">
        <f t="shared" si="73"/>
        <v>16.5640690410868</v>
      </c>
      <c r="AQ61" s="10" t="s">
        <v>238</v>
      </c>
      <c r="AR61" s="10" t="s">
        <v>235</v>
      </c>
      <c r="AS61">
        <v>111.16</v>
      </c>
    </row>
    <row r="62" spans="1:45" ht="14">
      <c r="A62" s="7" t="s">
        <v>107</v>
      </c>
      <c r="B62" s="7" t="s">
        <v>40</v>
      </c>
      <c r="C62" s="4">
        <v>5.0731472190225499</v>
      </c>
      <c r="D62" s="4">
        <f t="shared" si="51"/>
        <v>118344.26562499801</v>
      </c>
      <c r="E62" s="13">
        <f t="shared" si="52"/>
        <v>92.900248515623431</v>
      </c>
      <c r="F62" s="13">
        <f t="shared" si="53"/>
        <v>85.40154604891157</v>
      </c>
      <c r="G62" s="13">
        <f t="shared" si="60"/>
        <v>8.3569313572681203</v>
      </c>
      <c r="H62" s="4">
        <v>5.0815240359521896</v>
      </c>
      <c r="I62" s="9">
        <f t="shared" si="57"/>
        <v>120649.08593749926</v>
      </c>
      <c r="J62" s="13">
        <f t="shared" si="58"/>
        <v>94.709532460936927</v>
      </c>
      <c r="K62" s="13">
        <f t="shared" si="59"/>
        <v>85.191564528328101</v>
      </c>
      <c r="L62" s="13">
        <f t="shared" si="61"/>
        <v>8.4406995265645186</v>
      </c>
      <c r="M62" s="4">
        <v>-559</v>
      </c>
      <c r="N62" s="4">
        <v>-485</v>
      </c>
      <c r="O62" s="3">
        <f t="shared" si="56"/>
        <v>74</v>
      </c>
      <c r="P62" s="13">
        <v>7.4999999999999997E-2</v>
      </c>
      <c r="Q62" s="13">
        <f t="shared" si="40"/>
        <v>95.541401273885342</v>
      </c>
      <c r="R62" s="13">
        <f t="shared" si="41"/>
        <v>84.177224202846972</v>
      </c>
      <c r="S62" s="13">
        <f t="shared" si="62"/>
        <v>8.0071707831766012</v>
      </c>
      <c r="T62" s="43">
        <v>122</v>
      </c>
      <c r="U62" s="43">
        <v>154</v>
      </c>
      <c r="V62" s="4">
        <v>31687</v>
      </c>
      <c r="W62" s="4">
        <v>34873</v>
      </c>
      <c r="X62" s="4">
        <v>60300</v>
      </c>
      <c r="Y62" s="4">
        <v>175452</v>
      </c>
      <c r="Z62" s="4">
        <v>144147</v>
      </c>
      <c r="AA62" s="4">
        <v>122003</v>
      </c>
      <c r="AB62" s="4">
        <v>136199</v>
      </c>
      <c r="AC62" s="4">
        <v>171028</v>
      </c>
      <c r="AD62" s="13">
        <f t="shared" si="65"/>
        <v>3.3846608774400879</v>
      </c>
      <c r="AE62" s="13">
        <f t="shared" si="66"/>
        <v>3.4493309663720604</v>
      </c>
      <c r="AF62" s="13">
        <f t="shared" si="67"/>
        <v>5.6919677088210197</v>
      </c>
      <c r="AG62" s="13">
        <f t="shared" si="68"/>
        <v>10.287587220646211</v>
      </c>
      <c r="AH62" s="13">
        <f t="shared" si="69"/>
        <v>9.7572566167740309</v>
      </c>
      <c r="AI62" s="13">
        <f t="shared" si="70"/>
        <v>9.8024763590929833</v>
      </c>
      <c r="AJ62" s="13">
        <f t="shared" si="71"/>
        <v>9.9637687585429031</v>
      </c>
      <c r="AK62" s="15">
        <f t="shared" si="63"/>
        <v>134.25698</v>
      </c>
      <c r="AL62" s="13">
        <f t="shared" si="49"/>
        <v>91.604298711322116</v>
      </c>
      <c r="AM62" s="13">
        <f t="shared" si="72"/>
        <v>10.759430216125844</v>
      </c>
      <c r="AN62" s="17">
        <f t="shared" si="64"/>
        <v>103.23528458333334</v>
      </c>
      <c r="AO62" s="13">
        <f t="shared" si="50"/>
        <v>89.37863149769413</v>
      </c>
      <c r="AP62" s="13">
        <f t="shared" si="73"/>
        <v>9.7381002596049662</v>
      </c>
      <c r="AQ62" s="10" t="s">
        <v>238</v>
      </c>
      <c r="AR62" s="10" t="s">
        <v>235</v>
      </c>
      <c r="AS62">
        <v>111.16</v>
      </c>
    </row>
    <row r="63" spans="1:45" ht="13" customHeight="1">
      <c r="A63" s="7" t="s">
        <v>108</v>
      </c>
      <c r="B63" s="7" t="s">
        <v>41</v>
      </c>
      <c r="C63" s="4">
        <v>4.7704455042302003</v>
      </c>
      <c r="D63" s="4">
        <f t="shared" si="51"/>
        <v>58944.800781249687</v>
      </c>
      <c r="E63" s="13">
        <f t="shared" si="52"/>
        <v>46.271668613281008</v>
      </c>
      <c r="F63" s="13">
        <f t="shared" si="53"/>
        <v>70.690488572293674</v>
      </c>
      <c r="G63" s="13">
        <f t="shared" si="60"/>
        <v>5.329914209344623</v>
      </c>
      <c r="H63" s="4">
        <v>4.6393716126491098</v>
      </c>
      <c r="I63" s="9">
        <f t="shared" si="57"/>
        <v>43588.468750000036</v>
      </c>
      <c r="J63" s="13">
        <f t="shared" si="58"/>
        <v>34.216947968750027</v>
      </c>
      <c r="K63" s="13">
        <f t="shared" si="59"/>
        <v>59.011540091743761</v>
      </c>
      <c r="L63" s="13">
        <f t="shared" si="61"/>
        <v>4.0191752935337206</v>
      </c>
      <c r="M63" s="3">
        <v>-593</v>
      </c>
      <c r="N63" s="12">
        <v>-520</v>
      </c>
      <c r="O63" s="3">
        <f t="shared" si="56"/>
        <v>73</v>
      </c>
      <c r="P63" s="13">
        <v>0.14499999999999999</v>
      </c>
      <c r="Q63" s="13">
        <f t="shared" si="40"/>
        <v>184.71337579617833</v>
      </c>
      <c r="R63" s="13">
        <f t="shared" si="41"/>
        <v>69.409300125504146</v>
      </c>
      <c r="S63" s="13">
        <f t="shared" si="62"/>
        <v>5.1441033947438521</v>
      </c>
      <c r="T63" s="43">
        <v>137</v>
      </c>
      <c r="U63" s="43">
        <v>122</v>
      </c>
      <c r="V63" s="4">
        <v>19300</v>
      </c>
      <c r="W63" s="4">
        <v>47825</v>
      </c>
      <c r="X63" s="4">
        <v>34714</v>
      </c>
      <c r="Y63" s="4">
        <v>38939</v>
      </c>
      <c r="Z63" s="4">
        <v>32411</v>
      </c>
      <c r="AA63" s="4">
        <v>41486</v>
      </c>
      <c r="AB63" s="4">
        <v>42898</v>
      </c>
      <c r="AC63" s="4">
        <v>46354</v>
      </c>
      <c r="AD63" s="13">
        <f t="shared" si="65"/>
        <v>1.2314227290132722</v>
      </c>
      <c r="AE63" s="13">
        <f t="shared" si="66"/>
        <v>4.8209876554579703</v>
      </c>
      <c r="AF63" s="13">
        <f t="shared" si="67"/>
        <v>3.2938411787111606</v>
      </c>
      <c r="AG63" s="13">
        <f t="shared" si="68"/>
        <v>3.7498519303263826</v>
      </c>
      <c r="AH63" s="13">
        <f t="shared" si="69"/>
        <v>3.2761248427430645</v>
      </c>
      <c r="AI63" s="13">
        <f t="shared" si="70"/>
        <v>5.11778689005674</v>
      </c>
      <c r="AJ63" s="13">
        <f t="shared" si="71"/>
        <v>4.9464000182557575</v>
      </c>
      <c r="AK63" s="15">
        <f t="shared" si="63"/>
        <v>36.387889999999999</v>
      </c>
      <c r="AL63" s="13">
        <f t="shared" si="49"/>
        <v>69.023169521508393</v>
      </c>
      <c r="AM63" s="13">
        <f t="shared" si="72"/>
        <v>5.0896302092543708</v>
      </c>
      <c r="AN63" s="17">
        <f t="shared" si="64"/>
        <v>30.893061718750001</v>
      </c>
      <c r="AO63" s="13">
        <f t="shared" si="50"/>
        <v>64.506593422739371</v>
      </c>
      <c r="AP63" s="13">
        <f t="shared" si="73"/>
        <v>4.4984281870510143</v>
      </c>
      <c r="AQ63" s="10" t="s">
        <v>237</v>
      </c>
      <c r="AR63" s="10" t="s">
        <v>235</v>
      </c>
      <c r="AS63">
        <v>156.18</v>
      </c>
    </row>
    <row r="64" spans="1:45" ht="14">
      <c r="A64" s="7" t="s">
        <v>108</v>
      </c>
      <c r="B64" s="7" t="s">
        <v>41</v>
      </c>
      <c r="C64" s="4">
        <v>4.5516778170064898</v>
      </c>
      <c r="D64" s="4">
        <f t="shared" si="51"/>
        <v>35618.679687499825</v>
      </c>
      <c r="E64" s="13">
        <f t="shared" si="52"/>
        <v>27.960663554687365</v>
      </c>
      <c r="F64" s="13">
        <f t="shared" si="53"/>
        <v>51.496143954257313</v>
      </c>
      <c r="G64" s="13">
        <f t="shared" si="60"/>
        <v>3.142237337107523</v>
      </c>
      <c r="H64" s="4">
        <v>4.46392391481006</v>
      </c>
      <c r="I64" s="9">
        <f t="shared" si="57"/>
        <v>29102.072265624451</v>
      </c>
      <c r="J64" s="13">
        <f t="shared" si="58"/>
        <v>22.845126728515194</v>
      </c>
      <c r="K64" s="13">
        <f t="shared" si="59"/>
        <v>38.608351064675631</v>
      </c>
      <c r="L64" s="13">
        <f t="shared" si="61"/>
        <v>2.2646983151432218</v>
      </c>
      <c r="M64" s="3">
        <v>-630</v>
      </c>
      <c r="N64" s="12">
        <v>-501</v>
      </c>
      <c r="O64" s="3">
        <f t="shared" si="56"/>
        <v>129</v>
      </c>
      <c r="P64" s="13">
        <v>0.33100000000000002</v>
      </c>
      <c r="Q64" s="13">
        <f t="shared" si="40"/>
        <v>421.656050955414</v>
      </c>
      <c r="R64" s="13">
        <f t="shared" si="41"/>
        <v>30.168816148564648</v>
      </c>
      <c r="S64" s="13">
        <f t="shared" si="62"/>
        <v>1.5595034793364135</v>
      </c>
      <c r="T64" s="43">
        <v>161</v>
      </c>
      <c r="U64" s="43">
        <v>144</v>
      </c>
      <c r="V64" s="4">
        <v>9761</v>
      </c>
      <c r="W64" s="4">
        <v>20550</v>
      </c>
      <c r="X64" s="4">
        <v>41513</v>
      </c>
      <c r="Y64" s="4">
        <v>37338</v>
      </c>
      <c r="Z64" s="4">
        <v>22293</v>
      </c>
      <c r="AA64" s="4">
        <v>47861</v>
      </c>
      <c r="AB64" s="4">
        <v>35240</v>
      </c>
      <c r="AC64" s="4">
        <v>28061</v>
      </c>
      <c r="AD64" s="13">
        <f t="shared" si="65"/>
        <v>-1.7292072333373729</v>
      </c>
      <c r="AE64" s="13">
        <f t="shared" si="66"/>
        <v>1.152556130585515</v>
      </c>
      <c r="AF64" s="13">
        <f t="shared" si="67"/>
        <v>4.0706357820495933</v>
      </c>
      <c r="AG64" s="13">
        <f t="shared" si="68"/>
        <v>3.5675145027422435</v>
      </c>
      <c r="AH64" s="13">
        <f t="shared" si="69"/>
        <v>1.6508856945911168</v>
      </c>
      <c r="AI64" s="13">
        <f t="shared" si="70"/>
        <v>5.7385889444428777</v>
      </c>
      <c r="AJ64" s="13">
        <f t="shared" si="71"/>
        <v>4.0923885668182374</v>
      </c>
      <c r="AK64" s="15">
        <f t="shared" si="63"/>
        <v>22.027885000000001</v>
      </c>
      <c r="AL64" s="13">
        <f t="shared" si="49"/>
        <v>48.829336089234168</v>
      </c>
      <c r="AM64" s="13">
        <f t="shared" si="72"/>
        <v>2.9097894826314574</v>
      </c>
      <c r="AN64" s="17">
        <f t="shared" si="64"/>
        <v>26.727590052083332</v>
      </c>
      <c r="AO64" s="13">
        <f t="shared" si="50"/>
        <v>58.974976873587167</v>
      </c>
      <c r="AP64" s="13">
        <f t="shared" si="73"/>
        <v>3.8694166811638624</v>
      </c>
      <c r="AQ64" s="10" t="s">
        <v>237</v>
      </c>
      <c r="AR64" s="10" t="s">
        <v>235</v>
      </c>
      <c r="AS64">
        <v>156.18</v>
      </c>
    </row>
    <row r="65" spans="1:45" ht="14">
      <c r="A65" s="7" t="s">
        <v>108</v>
      </c>
      <c r="B65" s="7" t="s">
        <v>41</v>
      </c>
      <c r="C65" s="4">
        <v>4.6155633077983396</v>
      </c>
      <c r="D65" s="4">
        <f t="shared" si="51"/>
        <v>41263.238281250029</v>
      </c>
      <c r="E65" s="13">
        <f t="shared" si="52"/>
        <v>32.391642050781272</v>
      </c>
      <c r="F65" s="13">
        <f t="shared" si="53"/>
        <v>58.131174768051338</v>
      </c>
      <c r="G65" s="13">
        <f t="shared" si="60"/>
        <v>3.7810922450260174</v>
      </c>
      <c r="H65" s="4">
        <v>4.5565465814399202</v>
      </c>
      <c r="I65" s="9">
        <f t="shared" si="57"/>
        <v>36020.238281250036</v>
      </c>
      <c r="J65" s="13">
        <f t="shared" si="58"/>
        <v>28.275887050781279</v>
      </c>
      <c r="K65" s="13">
        <f t="shared" si="59"/>
        <v>50.39943406616316</v>
      </c>
      <c r="L65" s="13">
        <f t="shared" si="61"/>
        <v>3.1909249814418237</v>
      </c>
      <c r="M65" s="3">
        <v>-645</v>
      </c>
      <c r="N65" s="12">
        <v>-508</v>
      </c>
      <c r="O65" s="3">
        <f t="shared" si="56"/>
        <v>137</v>
      </c>
      <c r="P65" s="13">
        <v>0.23599999999999999</v>
      </c>
      <c r="Q65" s="13">
        <f t="shared" si="40"/>
        <v>300.63694267515922</v>
      </c>
      <c r="R65" s="13">
        <f t="shared" si="41"/>
        <v>50.210998824958473</v>
      </c>
      <c r="S65" s="13">
        <f t="shared" si="62"/>
        <v>3.0286633873925348</v>
      </c>
      <c r="T65" s="43">
        <v>162</v>
      </c>
      <c r="U65" s="43">
        <v>117</v>
      </c>
      <c r="V65" s="4">
        <v>7481</v>
      </c>
      <c r="W65" s="4">
        <v>21599</v>
      </c>
      <c r="X65" s="4">
        <v>20686</v>
      </c>
      <c r="Y65" s="4">
        <v>23458</v>
      </c>
      <c r="Z65" s="4">
        <v>16478</v>
      </c>
      <c r="AA65" s="4">
        <v>31309</v>
      </c>
      <c r="AB65" s="4">
        <v>22168</v>
      </c>
      <c r="AC65" s="4">
        <v>20415</v>
      </c>
      <c r="AD65" s="13">
        <f t="shared" si="65"/>
        <v>-2.8845538136309341</v>
      </c>
      <c r="AE65" s="13">
        <f t="shared" si="66"/>
        <v>1.368774313059441</v>
      </c>
      <c r="AF65" s="13">
        <f t="shared" si="67"/>
        <v>1.0455597908996359</v>
      </c>
      <c r="AG65" s="13">
        <f t="shared" si="68"/>
        <v>1.5489138085483787</v>
      </c>
      <c r="AH65" s="13">
        <f t="shared" si="69"/>
        <v>0.33824551955622562</v>
      </c>
      <c r="AI65" s="13">
        <f t="shared" si="70"/>
        <v>3.8954632259724775</v>
      </c>
      <c r="AJ65" s="13">
        <f t="shared" si="71"/>
        <v>2.0792946971598876</v>
      </c>
      <c r="AK65" s="15">
        <f t="shared" si="63"/>
        <v>16.025775000000003</v>
      </c>
      <c r="AL65" s="13">
        <f t="shared" si="49"/>
        <v>29.664462405094305</v>
      </c>
      <c r="AM65" s="13">
        <f t="shared" si="72"/>
        <v>1.5282518875414666</v>
      </c>
      <c r="AN65" s="17">
        <f t="shared" si="64"/>
        <v>17.725610729166668</v>
      </c>
      <c r="AO65" s="13">
        <f t="shared" si="50"/>
        <v>38.140354273054179</v>
      </c>
      <c r="AP65" s="13">
        <f t="shared" si="73"/>
        <v>2.0858307421013054</v>
      </c>
      <c r="AQ65" s="10" t="s">
        <v>237</v>
      </c>
      <c r="AR65" s="10" t="s">
        <v>235</v>
      </c>
      <c r="AS65">
        <v>156.18</v>
      </c>
    </row>
    <row r="66" spans="1:45" ht="13" customHeight="1">
      <c r="A66" s="7" t="s">
        <v>109</v>
      </c>
      <c r="B66" s="7" t="s">
        <v>42</v>
      </c>
      <c r="C66" s="4">
        <v>5.2529941840732697</v>
      </c>
      <c r="D66" s="4">
        <f t="shared" ref="D66:D68" si="74">POWER(10,C66)</f>
        <v>179058.18749999788</v>
      </c>
      <c r="E66" s="13">
        <f t="shared" ref="E66:E78" si="75">D66*0.785/1000</f>
        <v>140.56067718749833</v>
      </c>
      <c r="F66" s="13">
        <f t="shared" ref="F66:F78" si="76">(1-13.562/E66)*100</f>
        <v>90.351497821891385</v>
      </c>
      <c r="G66" s="13">
        <f t="shared" si="60"/>
        <v>10.155401007775318</v>
      </c>
      <c r="H66" s="4">
        <v>5.3197273093883402</v>
      </c>
      <c r="I66" s="9">
        <f t="shared" ref="I66:I68" si="77">POWER(10,H66)</f>
        <v>208798.46874999654</v>
      </c>
      <c r="J66" s="13">
        <f>I66*0.785/1000</f>
        <v>163.9067979687473</v>
      </c>
      <c r="K66" s="13">
        <f>(1-14.025/J66)*100</f>
        <v>91.443307920227809</v>
      </c>
      <c r="L66" s="13">
        <f t="shared" si="61"/>
        <v>10.822732260926022</v>
      </c>
      <c r="M66" s="3">
        <v>-540</v>
      </c>
      <c r="N66" s="3">
        <v>-523</v>
      </c>
      <c r="O66" s="3">
        <f t="shared" ref="O66:O77" si="78">N66-M66</f>
        <v>17</v>
      </c>
      <c r="P66" s="13">
        <v>5.5E-2</v>
      </c>
      <c r="Q66" s="13">
        <f t="shared" ref="Q66:Q97" si="79">1000*P66/(0.785)</f>
        <v>70.063694267515928</v>
      </c>
      <c r="R66" s="13">
        <f t="shared" ref="R66:R97" si="80">(1-Q66/603.822)*100</f>
        <v>88.396631082087779</v>
      </c>
      <c r="S66" s="13">
        <f t="shared" si="62"/>
        <v>9.3541565221511629</v>
      </c>
      <c r="T66" s="43">
        <v>37</v>
      </c>
      <c r="U66" s="43">
        <v>233</v>
      </c>
      <c r="V66" s="4">
        <v>42761</v>
      </c>
      <c r="W66" s="4">
        <v>61742</v>
      </c>
      <c r="X66" s="11">
        <v>89760</v>
      </c>
      <c r="Y66" s="4">
        <v>113779</v>
      </c>
      <c r="Z66" s="4">
        <v>143267</v>
      </c>
      <c r="AA66" s="4">
        <v>123675</v>
      </c>
      <c r="AB66" s="4">
        <v>142969</v>
      </c>
      <c r="AC66" s="4">
        <v>145692</v>
      </c>
      <c r="AD66" s="13">
        <f t="shared" si="65"/>
        <v>4.6863281687097915</v>
      </c>
      <c r="AE66" s="13">
        <f t="shared" si="66"/>
        <v>5.9302448026101455</v>
      </c>
      <c r="AF66" s="13">
        <f t="shared" si="67"/>
        <v>7.4196230265403686</v>
      </c>
      <c r="AG66" s="13">
        <f t="shared" si="68"/>
        <v>8.4066251135429457</v>
      </c>
      <c r="AH66" s="13">
        <f t="shared" si="69"/>
        <v>9.7306622032568377</v>
      </c>
      <c r="AI66" s="13">
        <f t="shared" si="70"/>
        <v>9.8615904502956457</v>
      </c>
      <c r="AJ66" s="13">
        <f t="shared" si="71"/>
        <v>10.174448364457556</v>
      </c>
      <c r="AK66" s="15">
        <f t="shared" si="63"/>
        <v>114.36822000000001</v>
      </c>
      <c r="AL66" s="13">
        <f t="shared" ref="AL66:AL73" si="81">(1-11.271815/AK66)*100</f>
        <v>90.14427696784999</v>
      </c>
      <c r="AM66" s="13">
        <f t="shared" si="72"/>
        <v>10.063115096539848</v>
      </c>
      <c r="AN66" s="17">
        <f t="shared" si="64"/>
        <v>99.955235677083337</v>
      </c>
      <c r="AO66" s="13">
        <f t="shared" ref="AO66:AO73" si="82">(1-10.965/AN66)*100</f>
        <v>89.030089393792565</v>
      </c>
      <c r="AP66" s="13">
        <f t="shared" si="73"/>
        <v>9.5978741413606166</v>
      </c>
      <c r="AQ66" s="10" t="s">
        <v>239</v>
      </c>
      <c r="AR66" s="10" t="s">
        <v>235</v>
      </c>
      <c r="AS66">
        <v>145.16</v>
      </c>
    </row>
    <row r="67" spans="1:45" ht="14">
      <c r="A67" s="7" t="s">
        <v>109</v>
      </c>
      <c r="B67" s="7" t="s">
        <v>42</v>
      </c>
      <c r="C67" s="4">
        <v>5.2921483845501402</v>
      </c>
      <c r="D67" s="4">
        <f t="shared" si="74"/>
        <v>195951.40624999849</v>
      </c>
      <c r="E67" s="13">
        <f t="shared" si="75"/>
        <v>153.8218539062488</v>
      </c>
      <c r="F67" s="13">
        <f t="shared" si="76"/>
        <v>91.183307406848868</v>
      </c>
      <c r="G67" s="13">
        <f t="shared" si="60"/>
        <v>10.54694301254403</v>
      </c>
      <c r="H67" s="4">
        <v>4.9915296364219497</v>
      </c>
      <c r="I67" s="9">
        <f t="shared" si="77"/>
        <v>98068.523437500058</v>
      </c>
      <c r="J67" s="13">
        <f>I67*0.785/1000</f>
        <v>76.983790898437547</v>
      </c>
      <c r="K67" s="13">
        <f>(1-14.025/J67)*100</f>
        <v>81.781879228962922</v>
      </c>
      <c r="L67" s="13">
        <f t="shared" si="61"/>
        <v>7.5407555312621177</v>
      </c>
      <c r="M67" s="3">
        <v>-610</v>
      </c>
      <c r="N67" s="3">
        <v>-484</v>
      </c>
      <c r="O67" s="3">
        <f t="shared" si="78"/>
        <v>126</v>
      </c>
      <c r="P67" s="13">
        <v>4.1000000000000002E-2</v>
      </c>
      <c r="Q67" s="13">
        <f t="shared" si="79"/>
        <v>52.229299363057322</v>
      </c>
      <c r="R67" s="13">
        <f t="shared" si="80"/>
        <v>91.350215897556339</v>
      </c>
      <c r="S67" s="13">
        <f t="shared" si="62"/>
        <v>10.629944849896248</v>
      </c>
      <c r="T67" s="43">
        <v>177</v>
      </c>
      <c r="U67" s="43">
        <v>160</v>
      </c>
      <c r="V67" s="4">
        <v>105238</v>
      </c>
      <c r="W67" s="4">
        <v>28584</v>
      </c>
      <c r="X67" s="11">
        <v>65561</v>
      </c>
      <c r="Y67" s="4">
        <v>100539</v>
      </c>
      <c r="Z67" s="4">
        <v>118972</v>
      </c>
      <c r="AA67" s="4">
        <v>133897</v>
      </c>
      <c r="AB67" s="4">
        <v>141086</v>
      </c>
      <c r="AC67" s="4">
        <v>155775</v>
      </c>
      <c r="AD67" s="13">
        <f t="shared" si="65"/>
        <v>8.5975754981788661</v>
      </c>
      <c r="AE67" s="13">
        <f t="shared" si="66"/>
        <v>2.5856679004084699</v>
      </c>
      <c r="AF67" s="13">
        <f t="shared" si="67"/>
        <v>6.0552502797186039</v>
      </c>
      <c r="AG67" s="13">
        <f t="shared" si="68"/>
        <v>7.8693496015780724</v>
      </c>
      <c r="AH67" s="13">
        <f t="shared" si="69"/>
        <v>8.9236481586568335</v>
      </c>
      <c r="AI67" s="13">
        <f t="shared" si="70"/>
        <v>10.206479726241648</v>
      </c>
      <c r="AJ67" s="13">
        <f t="shared" si="71"/>
        <v>10.116868776812588</v>
      </c>
      <c r="AK67" s="15">
        <f t="shared" si="63"/>
        <v>122.28337500000001</v>
      </c>
      <c r="AL67" s="13">
        <f t="shared" si="81"/>
        <v>90.782217942545344</v>
      </c>
      <c r="AM67" s="13">
        <f t="shared" si="72"/>
        <v>10.353735644219299</v>
      </c>
      <c r="AN67" s="17">
        <f t="shared" si="64"/>
        <v>97.045085312500007</v>
      </c>
      <c r="AO67" s="13">
        <f t="shared" si="82"/>
        <v>88.701127970889999</v>
      </c>
      <c r="AP67" s="13">
        <f t="shared" si="73"/>
        <v>9.4695541280334119</v>
      </c>
      <c r="AQ67" s="10" t="s">
        <v>239</v>
      </c>
      <c r="AR67" s="10" t="s">
        <v>235</v>
      </c>
      <c r="AS67">
        <v>145.16</v>
      </c>
    </row>
    <row r="68" spans="1:45" ht="14">
      <c r="A68" s="7" t="s">
        <v>109</v>
      </c>
      <c r="B68" s="7" t="s">
        <v>42</v>
      </c>
      <c r="C68" s="4">
        <v>5.0266920295267896</v>
      </c>
      <c r="D68" s="4">
        <f t="shared" si="74"/>
        <v>106338.86718749905</v>
      </c>
      <c r="E68" s="13">
        <f t="shared" si="75"/>
        <v>83.476010742186759</v>
      </c>
      <c r="F68" s="13">
        <f t="shared" si="76"/>
        <v>83.753416245673449</v>
      </c>
      <c r="G68" s="13">
        <f t="shared" si="60"/>
        <v>7.8923794623105188</v>
      </c>
      <c r="H68" s="4">
        <v>5.0804204671876496</v>
      </c>
      <c r="I68" s="9">
        <f t="shared" si="77"/>
        <v>120342.89843749751</v>
      </c>
      <c r="J68" s="13">
        <f>I68*0.785/1000</f>
        <v>94.469175273435553</v>
      </c>
      <c r="K68" s="13">
        <f>(1-14.025/J68)*100</f>
        <v>85.153887541194834</v>
      </c>
      <c r="L68" s="13">
        <f t="shared" si="61"/>
        <v>8.4296638389191223</v>
      </c>
      <c r="M68" s="3">
        <v>-566</v>
      </c>
      <c r="N68" s="3">
        <v>-496</v>
      </c>
      <c r="O68" s="3">
        <f t="shared" si="78"/>
        <v>70</v>
      </c>
      <c r="P68" s="13">
        <v>0.06</v>
      </c>
      <c r="Q68" s="13">
        <f t="shared" si="79"/>
        <v>76.43312101910827</v>
      </c>
      <c r="R68" s="13">
        <f t="shared" si="80"/>
        <v>87.341779362277578</v>
      </c>
      <c r="S68" s="13">
        <f t="shared" si="62"/>
        <v>8.9762709132571654</v>
      </c>
      <c r="T68" s="43">
        <v>101</v>
      </c>
      <c r="U68" s="43">
        <v>140</v>
      </c>
      <c r="V68" s="4">
        <v>168668</v>
      </c>
      <c r="W68" s="4">
        <v>74814</v>
      </c>
      <c r="X68" s="4">
        <v>56615</v>
      </c>
      <c r="Y68" s="4">
        <v>66796</v>
      </c>
      <c r="Z68" s="4">
        <v>62863</v>
      </c>
      <c r="AA68" s="4">
        <v>77086</v>
      </c>
      <c r="AB68" s="4">
        <v>94154</v>
      </c>
      <c r="AC68" s="4">
        <v>92285</v>
      </c>
      <c r="AD68" s="13">
        <f t="shared" si="65"/>
        <v>10.646176591580801</v>
      </c>
      <c r="AE68" s="13">
        <f t="shared" si="66"/>
        <v>6.7642666216844072</v>
      </c>
      <c r="AF68" s="13">
        <f t="shared" si="67"/>
        <v>5.4181097039246939</v>
      </c>
      <c r="AG68" s="13">
        <f t="shared" si="68"/>
        <v>6.0935085494541319</v>
      </c>
      <c r="AH68" s="13">
        <f t="shared" si="69"/>
        <v>6.1531515636999039</v>
      </c>
      <c r="AI68" s="13">
        <f t="shared" si="70"/>
        <v>7.8085263666641689</v>
      </c>
      <c r="AJ68" s="13">
        <f t="shared" si="71"/>
        <v>8.3604173207544576</v>
      </c>
      <c r="AK68" s="15">
        <f t="shared" si="63"/>
        <v>72.443725000000001</v>
      </c>
      <c r="AL68" s="13">
        <f t="shared" si="81"/>
        <v>84.440591645446176</v>
      </c>
      <c r="AM68" s="13">
        <f t="shared" si="72"/>
        <v>8.0800692105055063</v>
      </c>
      <c r="AN68" s="17">
        <f t="shared" si="64"/>
        <v>61.349810624999996</v>
      </c>
      <c r="AO68" s="13">
        <f t="shared" si="82"/>
        <v>82.127084194239103</v>
      </c>
      <c r="AP68" s="13">
        <f t="shared" si="73"/>
        <v>7.4779509312829404</v>
      </c>
      <c r="AQ68" s="10" t="s">
        <v>239</v>
      </c>
      <c r="AR68" s="10" t="s">
        <v>235</v>
      </c>
      <c r="AS68">
        <v>145.16</v>
      </c>
    </row>
    <row r="69" spans="1:45" ht="13" customHeight="1">
      <c r="A69" s="7" t="s">
        <v>110</v>
      </c>
      <c r="B69" s="7" t="s">
        <v>44</v>
      </c>
      <c r="C69" s="4">
        <v>5.0764305036545201</v>
      </c>
      <c r="D69" s="4">
        <f t="shared" ref="D69:D71" si="83">POWER(10,C69)</f>
        <v>119242.34374999857</v>
      </c>
      <c r="E69" s="13">
        <f t="shared" si="75"/>
        <v>93.60523984374889</v>
      </c>
      <c r="F69" s="13">
        <f t="shared" si="76"/>
        <v>85.511494845119302</v>
      </c>
      <c r="G69" s="13">
        <f t="shared" si="60"/>
        <v>8.3897642035878235</v>
      </c>
      <c r="H69" s="4">
        <v>5.4442790642768397</v>
      </c>
      <c r="I69" s="9">
        <f t="shared" ref="I69:I70" si="84">POWER(10,H69)</f>
        <v>278149.99999999575</v>
      </c>
      <c r="J69" s="13">
        <f>I69*0.785/1000</f>
        <v>218.34774999999669</v>
      </c>
      <c r="K69" s="13">
        <f>(1-14.025/J69)*100</f>
        <v>93.576760007831453</v>
      </c>
      <c r="L69" s="13">
        <f t="shared" si="61"/>
        <v>12.06824980981102</v>
      </c>
      <c r="M69" s="3">
        <v>-667</v>
      </c>
      <c r="N69" s="3">
        <v>-524</v>
      </c>
      <c r="O69" s="3">
        <f t="shared" si="78"/>
        <v>143</v>
      </c>
      <c r="P69" s="13">
        <v>9.8000000000000004E-2</v>
      </c>
      <c r="Q69" s="13">
        <f t="shared" si="79"/>
        <v>124.84076433121018</v>
      </c>
      <c r="R69" s="13">
        <f t="shared" si="80"/>
        <v>79.32490629172004</v>
      </c>
      <c r="S69" s="13">
        <f t="shared" si="62"/>
        <v>6.845522660168653</v>
      </c>
      <c r="T69" s="43">
        <v>188</v>
      </c>
      <c r="U69" s="43">
        <v>143</v>
      </c>
      <c r="V69" s="4">
        <v>371374</v>
      </c>
      <c r="W69" s="4">
        <v>102672</v>
      </c>
      <c r="X69" s="4">
        <v>40151</v>
      </c>
      <c r="Y69" s="4">
        <v>69509</v>
      </c>
      <c r="Z69" s="4">
        <v>94417</v>
      </c>
      <c r="AA69" s="4">
        <v>192751</v>
      </c>
      <c r="AB69" s="4">
        <v>149257</v>
      </c>
      <c r="AC69" s="4">
        <v>108175</v>
      </c>
      <c r="AD69" s="13">
        <f t="shared" si="65"/>
        <v>14.073964592806583</v>
      </c>
      <c r="AE69" s="13">
        <f t="shared" si="66"/>
        <v>8.1389580879357872</v>
      </c>
      <c r="AF69" s="13">
        <f t="shared" si="67"/>
        <v>3.9257582502099893</v>
      </c>
      <c r="AG69" s="13">
        <f t="shared" si="68"/>
        <v>6.2664143942832329</v>
      </c>
      <c r="AH69" s="13">
        <f t="shared" si="69"/>
        <v>7.9197025050202683</v>
      </c>
      <c r="AI69" s="13">
        <f t="shared" si="70"/>
        <v>11.788737658595586</v>
      </c>
      <c r="AJ69" s="13">
        <f t="shared" si="71"/>
        <v>10.361376651859961</v>
      </c>
      <c r="AK69" s="15">
        <f t="shared" si="63"/>
        <v>84.917375000000007</v>
      </c>
      <c r="AL69" s="13">
        <f t="shared" si="81"/>
        <v>86.726138201987524</v>
      </c>
      <c r="AM69" s="13">
        <f t="shared" si="72"/>
        <v>8.7700270836589276</v>
      </c>
      <c r="AN69" s="17">
        <f t="shared" si="64"/>
        <v>103.04649208333333</v>
      </c>
      <c r="AO69" s="13">
        <f t="shared" si="82"/>
        <v>89.359171983134914</v>
      </c>
      <c r="AP69" s="13">
        <f t="shared" si="73"/>
        <v>9.7301507872674406</v>
      </c>
      <c r="AQ69" s="10" t="s">
        <v>238</v>
      </c>
      <c r="AR69" s="10" t="s">
        <v>235</v>
      </c>
      <c r="AS69">
        <v>164.23</v>
      </c>
    </row>
    <row r="70" spans="1:45" ht="14">
      <c r="A70" s="7" t="s">
        <v>110</v>
      </c>
      <c r="B70" s="7" t="s">
        <v>44</v>
      </c>
      <c r="C70" s="4">
        <v>5.31450495133884</v>
      </c>
      <c r="D70" s="4">
        <f t="shared" si="83"/>
        <v>206302.7187499979</v>
      </c>
      <c r="E70" s="13">
        <f t="shared" si="75"/>
        <v>161.94763421874836</v>
      </c>
      <c r="F70" s="13">
        <f t="shared" si="76"/>
        <v>91.625688102562009</v>
      </c>
      <c r="G70" s="13">
        <f t="shared" si="60"/>
        <v>10.770508680431021</v>
      </c>
      <c r="H70" s="4">
        <v>5.6619364690249503</v>
      </c>
      <c r="I70" s="9">
        <f t="shared" si="84"/>
        <v>459130.84374999144</v>
      </c>
      <c r="J70" s="13">
        <f>I70*0.785/1000</f>
        <v>360.41771234374329</v>
      </c>
      <c r="K70" s="13">
        <f>(1-14.025/J70)*100</f>
        <v>96.108681810114859</v>
      </c>
      <c r="L70" s="13">
        <f t="shared" si="61"/>
        <v>14.244823857292129</v>
      </c>
      <c r="M70" s="3">
        <v>-531</v>
      </c>
      <c r="N70" s="3">
        <v>-513</v>
      </c>
      <c r="O70" s="3">
        <f t="shared" si="78"/>
        <v>18</v>
      </c>
      <c r="P70" s="13">
        <v>5.8999999999999997E-2</v>
      </c>
      <c r="Q70" s="13">
        <f t="shared" si="79"/>
        <v>75.159235668789805</v>
      </c>
      <c r="R70" s="13">
        <f t="shared" si="80"/>
        <v>87.552749706239624</v>
      </c>
      <c r="S70" s="13">
        <f t="shared" si="62"/>
        <v>9.049263300672159</v>
      </c>
      <c r="T70" s="43">
        <v>26</v>
      </c>
      <c r="U70" s="43">
        <v>147</v>
      </c>
      <c r="V70" s="4">
        <v>314409</v>
      </c>
      <c r="W70" s="4">
        <v>199151</v>
      </c>
      <c r="X70" s="11">
        <v>128131</v>
      </c>
      <c r="Y70" s="4">
        <v>56900</v>
      </c>
      <c r="Z70" s="4">
        <v>31161</v>
      </c>
      <c r="AA70" s="4">
        <v>286560</v>
      </c>
      <c r="AB70" s="4">
        <v>205686</v>
      </c>
      <c r="AC70" s="4">
        <v>203055</v>
      </c>
      <c r="AD70" s="13">
        <f t="shared" si="65"/>
        <v>13.350799331769345</v>
      </c>
      <c r="AE70" s="13">
        <f t="shared" si="66"/>
        <v>11.016262783268921</v>
      </c>
      <c r="AF70" s="13">
        <f t="shared" si="67"/>
        <v>8.9653367435840643</v>
      </c>
      <c r="AG70" s="13">
        <f t="shared" si="68"/>
        <v>5.3971266530118136</v>
      </c>
      <c r="AH70" s="13">
        <f t="shared" si="69"/>
        <v>3.1053143977444044</v>
      </c>
      <c r="AI70" s="13">
        <f t="shared" si="70"/>
        <v>13.510926944983021</v>
      </c>
      <c r="AJ70" s="13">
        <f t="shared" si="71"/>
        <v>11.754076894257281</v>
      </c>
      <c r="AK70" s="15">
        <f t="shared" si="63"/>
        <v>159.39817500000001</v>
      </c>
      <c r="AL70" s="13">
        <f t="shared" si="81"/>
        <v>92.928516904287022</v>
      </c>
      <c r="AM70" s="13">
        <f t="shared" si="72"/>
        <v>11.504894924638817</v>
      </c>
      <c r="AN70" s="17">
        <f t="shared" si="64"/>
        <v>136.48409041666667</v>
      </c>
      <c r="AO70" s="13">
        <f t="shared" si="82"/>
        <v>91.966096585671337</v>
      </c>
      <c r="AP70" s="13">
        <f t="shared" si="73"/>
        <v>10.950638964337209</v>
      </c>
      <c r="AQ70" s="10" t="s">
        <v>238</v>
      </c>
      <c r="AR70" s="10" t="s">
        <v>235</v>
      </c>
      <c r="AS70">
        <v>164.23</v>
      </c>
    </row>
    <row r="71" spans="1:45" ht="14">
      <c r="A71" s="7" t="s">
        <v>110</v>
      </c>
      <c r="B71" s="7" t="s">
        <v>44</v>
      </c>
      <c r="C71" s="4">
        <v>5.2200214984867701</v>
      </c>
      <c r="D71" s="4">
        <f t="shared" si="83"/>
        <v>165966.90624999869</v>
      </c>
      <c r="E71" s="13">
        <f t="shared" si="75"/>
        <v>130.284021406249</v>
      </c>
      <c r="F71" s="13">
        <f t="shared" si="76"/>
        <v>89.59043491779299</v>
      </c>
      <c r="G71" s="13">
        <f t="shared" si="60"/>
        <v>9.8256741519103272</v>
      </c>
      <c r="I71" s="9"/>
      <c r="J71" s="13"/>
      <c r="K71" s="13"/>
      <c r="L71" s="13"/>
      <c r="M71" s="3">
        <v>-581</v>
      </c>
      <c r="N71" s="3">
        <v>-496</v>
      </c>
      <c r="O71" s="3">
        <f t="shared" si="78"/>
        <v>85</v>
      </c>
      <c r="P71" s="13">
        <v>6.4000000000000001E-2</v>
      </c>
      <c r="Q71" s="13">
        <f t="shared" si="79"/>
        <v>81.528662420382162</v>
      </c>
      <c r="R71" s="13">
        <f t="shared" si="80"/>
        <v>86.497897986429422</v>
      </c>
      <c r="S71" s="13">
        <f t="shared" si="62"/>
        <v>8.6959836772547288</v>
      </c>
      <c r="T71" s="43">
        <v>147</v>
      </c>
      <c r="U71" s="43">
        <v>127</v>
      </c>
      <c r="V71" s="4">
        <v>397136</v>
      </c>
      <c r="W71" s="4">
        <v>80325</v>
      </c>
      <c r="X71" s="4">
        <v>296888</v>
      </c>
      <c r="Y71" s="4">
        <v>21267</v>
      </c>
      <c r="Z71" s="4">
        <v>50857</v>
      </c>
      <c r="AA71" s="4">
        <v>130586</v>
      </c>
      <c r="AB71" s="4">
        <v>161775</v>
      </c>
      <c r="AC71" s="4">
        <v>156620</v>
      </c>
      <c r="AD71" s="13">
        <f t="shared" si="65"/>
        <v>14.365242211228765</v>
      </c>
      <c r="AE71" s="13">
        <f t="shared" si="66"/>
        <v>7.0729452107001913</v>
      </c>
      <c r="AF71" s="13">
        <f t="shared" si="67"/>
        <v>12.614721028213074</v>
      </c>
      <c r="AG71" s="13">
        <f t="shared" si="68"/>
        <v>1.1230662997780403</v>
      </c>
      <c r="AH71" s="13">
        <f t="shared" si="69"/>
        <v>5.2327079146253483</v>
      </c>
      <c r="AI71" s="13">
        <f t="shared" si="70"/>
        <v>10.097737451325767</v>
      </c>
      <c r="AJ71" s="13">
        <f t="shared" si="71"/>
        <v>10.711143654360587</v>
      </c>
      <c r="AK71" s="15">
        <f t="shared" si="63"/>
        <v>122.94670000000001</v>
      </c>
      <c r="AL71" s="13">
        <f t="shared" si="81"/>
        <v>90.83194994253607</v>
      </c>
      <c r="AM71" s="13">
        <f t="shared" si="72"/>
        <v>10.37723024126575</v>
      </c>
      <c r="AN71" s="17">
        <f t="shared" si="64"/>
        <v>96.549513177083327</v>
      </c>
      <c r="AO71" s="13">
        <f t="shared" si="82"/>
        <v>88.643132793545135</v>
      </c>
      <c r="AP71" s="13">
        <f t="shared" si="73"/>
        <v>9.4473195496324589</v>
      </c>
      <c r="AQ71" s="10" t="s">
        <v>238</v>
      </c>
      <c r="AR71" s="10" t="s">
        <v>235</v>
      </c>
      <c r="AS71">
        <v>164.23</v>
      </c>
    </row>
    <row r="72" spans="1:45" ht="13" customHeight="1">
      <c r="A72" s="7" t="s">
        <v>111</v>
      </c>
      <c r="B72" s="7" t="s">
        <v>43</v>
      </c>
      <c r="C72" s="4">
        <v>4.9130057087743504</v>
      </c>
      <c r="D72" s="4">
        <f t="shared" ref="D72:D74" si="85">POWER(10,C72)</f>
        <v>81847.554687498516</v>
      </c>
      <c r="E72" s="13">
        <f t="shared" si="75"/>
        <v>64.250330429686329</v>
      </c>
      <c r="F72" s="13">
        <f t="shared" si="76"/>
        <v>78.891937349891379</v>
      </c>
      <c r="G72" s="13">
        <f t="shared" si="60"/>
        <v>6.7555162547861247</v>
      </c>
      <c r="H72" s="4">
        <v>5.1928093333597696</v>
      </c>
      <c r="I72" s="9">
        <f t="shared" ref="I72:I74" si="86">POWER(10,H72)</f>
        <v>155886.79687500026</v>
      </c>
      <c r="J72" s="13">
        <f t="shared" ref="J72:J78" si="87">I72*0.785/1000</f>
        <v>122.37113554687521</v>
      </c>
      <c r="K72" s="13">
        <f t="shared" ref="K72:K78" si="88">(1-14.025/J72)*100</f>
        <v>88.538963917166882</v>
      </c>
      <c r="L72" s="13">
        <f t="shared" si="61"/>
        <v>9.5535525006403219</v>
      </c>
      <c r="M72" s="3">
        <v>-514</v>
      </c>
      <c r="N72" s="3">
        <v>-505</v>
      </c>
      <c r="O72" s="3">
        <f t="shared" si="78"/>
        <v>9</v>
      </c>
      <c r="P72" s="13">
        <v>0.28000000000000003</v>
      </c>
      <c r="Q72" s="13">
        <f t="shared" si="79"/>
        <v>356.68789808917194</v>
      </c>
      <c r="R72" s="13">
        <f t="shared" si="80"/>
        <v>40.928303690628709</v>
      </c>
      <c r="S72" s="13">
        <f t="shared" si="62"/>
        <v>2.2862031036714088</v>
      </c>
      <c r="T72" s="43">
        <v>29</v>
      </c>
      <c r="U72" s="43">
        <v>204</v>
      </c>
      <c r="V72" s="4">
        <v>47362</v>
      </c>
      <c r="W72" s="4">
        <v>29394</v>
      </c>
      <c r="X72" s="4">
        <v>16828</v>
      </c>
      <c r="Y72" s="4">
        <v>45608</v>
      </c>
      <c r="Z72" s="4">
        <v>51704</v>
      </c>
      <c r="AA72" s="4">
        <v>102627</v>
      </c>
      <c r="AB72" s="4">
        <v>80211</v>
      </c>
      <c r="AC72" s="4">
        <v>92833</v>
      </c>
      <c r="AD72" s="13">
        <f t="shared" si="65"/>
        <v>5.130149973597721</v>
      </c>
      <c r="AE72" s="13">
        <f t="shared" si="66"/>
        <v>2.707024766864377</v>
      </c>
      <c r="AF72" s="13">
        <f t="shared" si="67"/>
        <v>0.14911962086909367</v>
      </c>
      <c r="AG72" s="13">
        <f t="shared" si="68"/>
        <v>4.4364142690218564</v>
      </c>
      <c r="AH72" s="13">
        <f t="shared" si="69"/>
        <v>5.3044419634856608</v>
      </c>
      <c r="AI72" s="13">
        <f t="shared" si="70"/>
        <v>9.0513875975543687</v>
      </c>
      <c r="AJ72" s="13">
        <f t="shared" si="71"/>
        <v>7.6643688771618557</v>
      </c>
      <c r="AK72" s="15">
        <f t="shared" si="63"/>
        <v>72.873904999999993</v>
      </c>
      <c r="AL72" s="13">
        <f t="shared" si="81"/>
        <v>84.532439972854476</v>
      </c>
      <c r="AM72" s="13">
        <f t="shared" si="72"/>
        <v>8.1057818987673613</v>
      </c>
      <c r="AN72" s="17">
        <f t="shared" si="64"/>
        <v>57.243671874999997</v>
      </c>
      <c r="AO72" s="13">
        <f t="shared" si="82"/>
        <v>80.84504428027661</v>
      </c>
      <c r="AP72" s="13">
        <f t="shared" si="73"/>
        <v>7.1770935029279395</v>
      </c>
      <c r="AQ72" s="10" t="s">
        <v>239</v>
      </c>
      <c r="AR72" s="10" t="s">
        <v>235</v>
      </c>
      <c r="AS72">
        <v>112.09</v>
      </c>
    </row>
    <row r="73" spans="1:45" ht="14">
      <c r="A73" s="7" t="s">
        <v>111</v>
      </c>
      <c r="B73" s="7" t="s">
        <v>43</v>
      </c>
      <c r="C73" s="4">
        <v>4.8329372079972304</v>
      </c>
      <c r="D73" s="4">
        <f t="shared" si="85"/>
        <v>68067.093749998676</v>
      </c>
      <c r="E73" s="13">
        <f t="shared" si="75"/>
        <v>53.432668593748957</v>
      </c>
      <c r="F73" s="13">
        <f t="shared" si="76"/>
        <v>74.618523916309499</v>
      </c>
      <c r="G73" s="13">
        <f t="shared" si="60"/>
        <v>5.9548312470149245</v>
      </c>
      <c r="H73" s="4">
        <v>4.8508892231792604</v>
      </c>
      <c r="I73" s="9">
        <f t="shared" si="86"/>
        <v>70939.679687499156</v>
      </c>
      <c r="J73" s="13">
        <f t="shared" si="87"/>
        <v>55.687648554686845</v>
      </c>
      <c r="K73" s="13">
        <f t="shared" si="88"/>
        <v>74.814881999862038</v>
      </c>
      <c r="L73" s="13">
        <f t="shared" si="61"/>
        <v>6.1343513988352294</v>
      </c>
      <c r="M73" s="3">
        <v>-514</v>
      </c>
      <c r="N73" s="3">
        <v>-507</v>
      </c>
      <c r="O73" s="3">
        <f t="shared" si="78"/>
        <v>7</v>
      </c>
      <c r="P73" s="13">
        <v>0.39400000000000002</v>
      </c>
      <c r="Q73" s="13">
        <f t="shared" si="79"/>
        <v>501.91082802547771</v>
      </c>
      <c r="R73" s="13">
        <f t="shared" si="80"/>
        <v>16.877684478956102</v>
      </c>
      <c r="S73" s="13">
        <f t="shared" si="62"/>
        <v>0.8028211988378593</v>
      </c>
      <c r="T73" s="43">
        <v>20</v>
      </c>
      <c r="U73" s="43">
        <v>174</v>
      </c>
      <c r="V73" s="4">
        <v>26165</v>
      </c>
      <c r="W73" s="4">
        <v>12583</v>
      </c>
      <c r="X73" s="4">
        <v>16398</v>
      </c>
      <c r="Y73" s="4">
        <v>34900</v>
      </c>
      <c r="Z73" s="4">
        <v>32600</v>
      </c>
      <c r="AA73" s="4">
        <v>31900</v>
      </c>
      <c r="AB73" s="4">
        <v>38000</v>
      </c>
      <c r="AC73" s="4">
        <v>37400</v>
      </c>
      <c r="AD73" s="13">
        <f t="shared" si="65"/>
        <v>2.5530570296923747</v>
      </c>
      <c r="AE73" s="13">
        <f t="shared" si="66"/>
        <v>-0.97772016549958773</v>
      </c>
      <c r="AF73" s="13">
        <f t="shared" si="67"/>
        <v>3.6703408182549538E-2</v>
      </c>
      <c r="AG73" s="13">
        <f t="shared" si="68"/>
        <v>3.2742582586529005</v>
      </c>
      <c r="AH73" s="13">
        <f t="shared" si="69"/>
        <v>3.3013765350188882</v>
      </c>
      <c r="AI73" s="13">
        <f t="shared" si="70"/>
        <v>3.9766780905052697</v>
      </c>
      <c r="AJ73" s="13">
        <f t="shared" si="71"/>
        <v>4.4198655355862364</v>
      </c>
      <c r="AK73" s="15">
        <f t="shared" si="63"/>
        <v>29.359000000000002</v>
      </c>
      <c r="AL73" s="13">
        <f t="shared" si="81"/>
        <v>61.606951871657756</v>
      </c>
      <c r="AM73" s="13">
        <f t="shared" si="72"/>
        <v>4.1574740669561088</v>
      </c>
      <c r="AN73" s="17">
        <f t="shared" si="64"/>
        <v>25.528085520833333</v>
      </c>
      <c r="AO73" s="13">
        <f t="shared" si="82"/>
        <v>57.047307793404542</v>
      </c>
      <c r="AP73" s="13">
        <f t="shared" si="73"/>
        <v>3.6700011275039595</v>
      </c>
      <c r="AQ73" s="10" t="s">
        <v>239</v>
      </c>
      <c r="AR73" s="10" t="s">
        <v>235</v>
      </c>
      <c r="AS73">
        <v>112.09</v>
      </c>
    </row>
    <row r="74" spans="1:45" ht="14">
      <c r="A74" s="7" t="s">
        <v>111</v>
      </c>
      <c r="B74" s="7" t="s">
        <v>43</v>
      </c>
      <c r="C74" s="4">
        <v>4.8914724689199698</v>
      </c>
      <c r="D74" s="4">
        <f t="shared" si="85"/>
        <v>77888.343749999083</v>
      </c>
      <c r="E74" s="13">
        <f t="shared" si="75"/>
        <v>61.14234984374928</v>
      </c>
      <c r="F74" s="13">
        <f t="shared" si="76"/>
        <v>77.818974843691791</v>
      </c>
      <c r="G74" s="13">
        <f t="shared" si="60"/>
        <v>6.5401838562423178</v>
      </c>
      <c r="H74" s="4">
        <v>4.6423159480645397</v>
      </c>
      <c r="I74" s="9">
        <f t="shared" si="86"/>
        <v>43884.984374999207</v>
      </c>
      <c r="J74" s="13">
        <f t="shared" si="87"/>
        <v>34.44971273437438</v>
      </c>
      <c r="K74" s="13">
        <f t="shared" si="88"/>
        <v>59.288484905113094</v>
      </c>
      <c r="L74" s="13">
        <f t="shared" si="61"/>
        <v>4.0486186476880173</v>
      </c>
      <c r="M74" s="3">
        <v>-503</v>
      </c>
      <c r="N74" s="3">
        <v>-496</v>
      </c>
      <c r="O74" s="3">
        <f t="shared" si="78"/>
        <v>7</v>
      </c>
      <c r="P74" s="13">
        <v>0.311</v>
      </c>
      <c r="Q74" s="13">
        <f t="shared" si="79"/>
        <v>396.17834394904457</v>
      </c>
      <c r="R74" s="13">
        <f t="shared" si="80"/>
        <v>34.388223027805452</v>
      </c>
      <c r="S74" s="13">
        <f t="shared" si="62"/>
        <v>1.8301795268252259</v>
      </c>
      <c r="T74" s="43">
        <v>18</v>
      </c>
      <c r="U74" s="43">
        <v>365</v>
      </c>
      <c r="V74" s="4">
        <v>49131</v>
      </c>
      <c r="W74" s="11">
        <v>39744</v>
      </c>
      <c r="X74" s="4">
        <v>27557</v>
      </c>
      <c r="Y74" s="4">
        <v>62500</v>
      </c>
      <c r="Z74" s="4">
        <v>59000</v>
      </c>
      <c r="AA74" s="4">
        <v>50000</v>
      </c>
      <c r="AB74" s="4">
        <v>33300</v>
      </c>
      <c r="AC74" s="4">
        <v>36300</v>
      </c>
      <c r="AD74" s="13">
        <f t="shared" si="65"/>
        <v>5.2894056763883954</v>
      </c>
      <c r="AE74" s="13">
        <f t="shared" si="66"/>
        <v>4.0171536100693084</v>
      </c>
      <c r="AF74" s="13">
        <f t="shared" si="67"/>
        <v>2.2911139496873951</v>
      </c>
      <c r="AG74" s="13">
        <f t="shared" si="68"/>
        <v>5.8048041625018545</v>
      </c>
      <c r="AH74" s="13">
        <f t="shared" si="69"/>
        <v>5.8777206507609403</v>
      </c>
      <c r="AI74" s="13">
        <f t="shared" si="70"/>
        <v>5.9284713032936462</v>
      </c>
      <c r="AJ74" s="13">
        <f t="shared" si="71"/>
        <v>3.846471904481334</v>
      </c>
      <c r="AK74" s="15">
        <f t="shared" si="63"/>
        <v>28.4955</v>
      </c>
      <c r="AL74" s="13">
        <f t="shared" ref="AL74:AL110" si="89">(1-11.271815/AK74)*100</f>
        <v>60.44352617079889</v>
      </c>
      <c r="AM74" s="13">
        <f t="shared" si="72"/>
        <v>4.0278242953124321</v>
      </c>
      <c r="AN74" s="17">
        <f t="shared" si="64"/>
        <v>34.960228489583336</v>
      </c>
      <c r="AO74" s="13">
        <f t="shared" ref="AO74:AO110" si="90">(1-10.965/AN74)*100</f>
        <v>68.635788512460365</v>
      </c>
      <c r="AP74" s="13">
        <f t="shared" si="73"/>
        <v>5.0355612903658251</v>
      </c>
      <c r="AQ74" s="10" t="s">
        <v>239</v>
      </c>
      <c r="AR74" s="10" t="s">
        <v>235</v>
      </c>
      <c r="AS74">
        <v>112.09</v>
      </c>
    </row>
    <row r="75" spans="1:45" ht="13" customHeight="1">
      <c r="A75" s="7" t="s">
        <v>112</v>
      </c>
      <c r="B75" s="7" t="s">
        <v>45</v>
      </c>
      <c r="C75" s="4">
        <v>4.4748376185377197</v>
      </c>
      <c r="D75" s="4">
        <f t="shared" ref="D75:D77" si="91">POWER(10,C75)</f>
        <v>29842.666015624356</v>
      </c>
      <c r="E75" s="13">
        <f t="shared" si="75"/>
        <v>23.426492822265121</v>
      </c>
      <c r="F75" s="13">
        <f t="shared" si="76"/>
        <v>42.1082784226654</v>
      </c>
      <c r="G75" s="13">
        <f t="shared" si="60"/>
        <v>2.3738353524198224</v>
      </c>
      <c r="H75" s="4">
        <v>4.5241226747622596</v>
      </c>
      <c r="I75" s="9">
        <f t="shared" ref="I75:I77" si="92">POWER(10,H75)</f>
        <v>33428.94531249952</v>
      </c>
      <c r="J75" s="13">
        <f t="shared" si="87"/>
        <v>26.241722070312125</v>
      </c>
      <c r="K75" s="13">
        <f t="shared" si="88"/>
        <v>46.554574572425601</v>
      </c>
      <c r="L75" s="13">
        <f t="shared" si="61"/>
        <v>2.8666859146652217</v>
      </c>
      <c r="M75" s="3">
        <v>-498</v>
      </c>
      <c r="N75" s="3">
        <v>-491</v>
      </c>
      <c r="O75" s="3">
        <f t="shared" si="78"/>
        <v>7</v>
      </c>
      <c r="P75" s="13">
        <v>0.17</v>
      </c>
      <c r="Q75" s="13">
        <f t="shared" si="79"/>
        <v>216.56050955414011</v>
      </c>
      <c r="R75" s="13">
        <f t="shared" si="80"/>
        <v>64.135041526453136</v>
      </c>
      <c r="S75" s="13">
        <f t="shared" si="62"/>
        <v>4.453294203310862</v>
      </c>
      <c r="T75" s="43">
        <v>12</v>
      </c>
      <c r="U75" s="43">
        <v>138</v>
      </c>
      <c r="V75" s="4">
        <v>7113</v>
      </c>
      <c r="W75" s="4">
        <v>33258</v>
      </c>
      <c r="X75" s="4">
        <v>18655</v>
      </c>
      <c r="Y75" s="4">
        <v>38359</v>
      </c>
      <c r="Z75" s="4">
        <v>42298</v>
      </c>
      <c r="AA75" s="4">
        <v>28906</v>
      </c>
      <c r="AB75" s="4">
        <v>40866</v>
      </c>
      <c r="AC75" s="4">
        <v>28225</v>
      </c>
      <c r="AD75" s="13">
        <f t="shared" si="65"/>
        <v>-3.1036222740859598</v>
      </c>
      <c r="AE75" s="13">
        <f t="shared" si="66"/>
        <v>3.2433991582256838</v>
      </c>
      <c r="AF75" s="13">
        <f t="shared" si="67"/>
        <v>0.59674712118798512</v>
      </c>
      <c r="AG75" s="13">
        <f t="shared" si="68"/>
        <v>3.6846767571175452</v>
      </c>
      <c r="AH75" s="13">
        <f t="shared" si="69"/>
        <v>4.4323988630548214</v>
      </c>
      <c r="AI75" s="13">
        <f t="shared" si="70"/>
        <v>3.5486512433584587</v>
      </c>
      <c r="AJ75" s="13">
        <f t="shared" si="71"/>
        <v>4.7356508760806584</v>
      </c>
      <c r="AK75" s="15">
        <f t="shared" si="63"/>
        <v>22.156624999999998</v>
      </c>
      <c r="AL75" s="13">
        <f t="shared" si="89"/>
        <v>49.126660761736041</v>
      </c>
      <c r="AM75" s="13">
        <f t="shared" si="72"/>
        <v>2.9350975509213613</v>
      </c>
      <c r="AN75" s="17">
        <f t="shared" si="64"/>
        <v>26.68158578125</v>
      </c>
      <c r="AO75" s="13">
        <f t="shared" si="90"/>
        <v>58.90424171225439</v>
      </c>
      <c r="AP75" s="13">
        <f t="shared" si="73"/>
        <v>3.8619350431882564</v>
      </c>
      <c r="AQ75" s="10" t="s">
        <v>237</v>
      </c>
      <c r="AR75" s="10" t="s">
        <v>235</v>
      </c>
      <c r="AS75">
        <v>144.16999999999999</v>
      </c>
    </row>
    <row r="76" spans="1:45" ht="14">
      <c r="A76" s="7" t="s">
        <v>112</v>
      </c>
      <c r="B76" s="7" t="s">
        <v>45</v>
      </c>
      <c r="C76" s="4">
        <v>4.41512274149812</v>
      </c>
      <c r="D76" s="4">
        <f t="shared" si="91"/>
        <v>26008.945312499553</v>
      </c>
      <c r="E76" s="13">
        <f t="shared" si="75"/>
        <v>20.41702207031215</v>
      </c>
      <c r="F76" s="13">
        <f t="shared" si="76"/>
        <v>33.575033845312127</v>
      </c>
      <c r="G76" s="13">
        <f t="shared" si="60"/>
        <v>1.7766865820238249</v>
      </c>
      <c r="H76" s="4">
        <v>4.5319529194278099</v>
      </c>
      <c r="I76" s="9">
        <f t="shared" si="92"/>
        <v>34037.128906249498</v>
      </c>
      <c r="J76" s="13">
        <f t="shared" si="87"/>
        <v>26.719146191405855</v>
      </c>
      <c r="K76" s="13">
        <f t="shared" si="88"/>
        <v>47.509550269569964</v>
      </c>
      <c r="L76" s="13">
        <f t="shared" si="61"/>
        <v>2.9449883613207231</v>
      </c>
      <c r="M76" s="3">
        <v>-556</v>
      </c>
      <c r="N76" s="3">
        <v>-511</v>
      </c>
      <c r="O76" s="3">
        <f t="shared" si="78"/>
        <v>45</v>
      </c>
      <c r="P76" s="13">
        <v>0.151</v>
      </c>
      <c r="Q76" s="13">
        <f t="shared" si="79"/>
        <v>192.35668789808918</v>
      </c>
      <c r="R76" s="13">
        <f t="shared" si="80"/>
        <v>68.143478061731912</v>
      </c>
      <c r="S76" s="13">
        <f t="shared" si="62"/>
        <v>4.9680139441619069</v>
      </c>
      <c r="T76" s="43">
        <v>101</v>
      </c>
      <c r="U76" s="43">
        <v>111</v>
      </c>
      <c r="V76" s="4">
        <v>12567</v>
      </c>
      <c r="W76" s="4">
        <v>13695</v>
      </c>
      <c r="X76" s="4">
        <v>33353</v>
      </c>
      <c r="Y76" s="4">
        <v>24214</v>
      </c>
      <c r="Z76" s="4">
        <v>42609</v>
      </c>
      <c r="AA76" s="4">
        <v>27221</v>
      </c>
      <c r="AB76" s="4">
        <v>26628</v>
      </c>
      <c r="AC76" s="4">
        <v>27734</v>
      </c>
      <c r="AD76" s="13">
        <f t="shared" si="65"/>
        <v>-0.63183421025564634</v>
      </c>
      <c r="AE76" s="13">
        <f t="shared" si="66"/>
        <v>-0.60994176563556346</v>
      </c>
      <c r="AF76" s="13">
        <f t="shared" si="67"/>
        <v>3.1201436220737504</v>
      </c>
      <c r="AG76" s="13">
        <f t="shared" si="68"/>
        <v>1.6866693698205601</v>
      </c>
      <c r="AH76" s="13">
        <f t="shared" si="69"/>
        <v>4.4642139520121509</v>
      </c>
      <c r="AI76" s="13">
        <f t="shared" si="70"/>
        <v>3.2878120154488681</v>
      </c>
      <c r="AJ76" s="13">
        <f t="shared" si="71"/>
        <v>2.8754150522144659</v>
      </c>
      <c r="AK76" s="15">
        <f t="shared" si="63"/>
        <v>21.771190000000001</v>
      </c>
      <c r="AL76" s="13">
        <f t="shared" si="89"/>
        <v>48.226004182591765</v>
      </c>
      <c r="AM76" s="13">
        <f t="shared" si="72"/>
        <v>2.8588831571191582</v>
      </c>
      <c r="AN76" s="17">
        <f t="shared" si="64"/>
        <v>22.674414270833335</v>
      </c>
      <c r="AO76" s="13">
        <f t="shared" si="90"/>
        <v>51.641529218664083</v>
      </c>
      <c r="AP76" s="13">
        <f t="shared" si="73"/>
        <v>3.1551794375743425</v>
      </c>
      <c r="AQ76" s="10" t="s">
        <v>237</v>
      </c>
      <c r="AR76" s="10" t="s">
        <v>235</v>
      </c>
      <c r="AS76">
        <v>144.16999999999999</v>
      </c>
    </row>
    <row r="77" spans="1:45" ht="14">
      <c r="A77" s="7" t="s">
        <v>112</v>
      </c>
      <c r="B77" s="7" t="s">
        <v>45</v>
      </c>
      <c r="C77" s="4">
        <v>4.4022486168042603</v>
      </c>
      <c r="D77" s="4">
        <f t="shared" si="91"/>
        <v>25249.257812499942</v>
      </c>
      <c r="E77" s="13">
        <f t="shared" si="75"/>
        <v>19.820667382812456</v>
      </c>
      <c r="F77" s="13">
        <f t="shared" si="76"/>
        <v>31.576471477643963</v>
      </c>
      <c r="G77" s="13">
        <f t="shared" si="60"/>
        <v>1.6479453350852262</v>
      </c>
      <c r="H77" s="4">
        <v>4.5892017291260601</v>
      </c>
      <c r="I77" s="9">
        <f t="shared" si="92"/>
        <v>38833.070312499585</v>
      </c>
      <c r="J77" s="13">
        <f t="shared" si="87"/>
        <v>30.483960195312175</v>
      </c>
      <c r="K77" s="13">
        <f t="shared" si="88"/>
        <v>53.992198158831194</v>
      </c>
      <c r="L77" s="13">
        <f t="shared" si="61"/>
        <v>3.5174764583032219</v>
      </c>
      <c r="M77" s="3">
        <v>-557</v>
      </c>
      <c r="N77" s="3">
        <v>-506</v>
      </c>
      <c r="O77" s="3">
        <f t="shared" si="78"/>
        <v>51</v>
      </c>
      <c r="P77" s="13">
        <v>0.14699999999999999</v>
      </c>
      <c r="Q77" s="13">
        <f t="shared" si="79"/>
        <v>187.26114649681529</v>
      </c>
      <c r="R77" s="13">
        <f t="shared" si="80"/>
        <v>68.987359437580068</v>
      </c>
      <c r="S77" s="13">
        <f t="shared" si="62"/>
        <v>5.0846100696118404</v>
      </c>
      <c r="T77" s="43">
        <v>87</v>
      </c>
      <c r="U77" s="43">
        <v>117</v>
      </c>
      <c r="V77" s="4">
        <v>21268</v>
      </c>
      <c r="W77" s="4">
        <v>30696</v>
      </c>
      <c r="X77" s="4">
        <v>33572</v>
      </c>
      <c r="Y77" s="4">
        <v>37737</v>
      </c>
      <c r="Z77" s="4">
        <v>33168</v>
      </c>
      <c r="AA77" s="4">
        <v>32469</v>
      </c>
      <c r="AB77" s="4">
        <v>28386</v>
      </c>
      <c r="AC77" s="4">
        <v>26637</v>
      </c>
      <c r="AD77" s="13">
        <f t="shared" si="65"/>
        <v>1.6531161553569438</v>
      </c>
      <c r="AE77" s="13">
        <f t="shared" si="66"/>
        <v>2.8952557303672344</v>
      </c>
      <c r="AF77" s="13">
        <f t="shared" si="67"/>
        <v>3.1485667318301847</v>
      </c>
      <c r="AG77" s="13">
        <f t="shared" si="68"/>
        <v>3.6136777074900328</v>
      </c>
      <c r="AH77" s="13">
        <f t="shared" si="69"/>
        <v>3.3763933818373544</v>
      </c>
      <c r="AI77" s="13">
        <f t="shared" si="70"/>
        <v>4.0534603915985645</v>
      </c>
      <c r="AJ77" s="13">
        <f t="shared" si="71"/>
        <v>3.1530715537402236</v>
      </c>
      <c r="AK77" s="15">
        <f t="shared" si="63"/>
        <v>20.910045</v>
      </c>
      <c r="AL77" s="13">
        <f t="shared" si="89"/>
        <v>46.093779329504073</v>
      </c>
      <c r="AM77" s="13">
        <f t="shared" si="72"/>
        <v>2.6836111520316246</v>
      </c>
      <c r="AN77" s="17">
        <f t="shared" si="64"/>
        <v>23.932098750000002</v>
      </c>
      <c r="AO77" s="13">
        <f t="shared" si="90"/>
        <v>54.182873326143202</v>
      </c>
      <c r="AP77" s="13">
        <f t="shared" si="73"/>
        <v>3.3896265283080629</v>
      </c>
      <c r="AQ77" s="10" t="s">
        <v>237</v>
      </c>
      <c r="AR77" s="10" t="s">
        <v>235</v>
      </c>
      <c r="AS77">
        <v>144.16999999999999</v>
      </c>
    </row>
    <row r="78" spans="1:45" ht="13" customHeight="1">
      <c r="A78" s="7" t="s">
        <v>113</v>
      </c>
      <c r="B78" s="7" t="s">
        <v>46</v>
      </c>
      <c r="C78" s="4">
        <v>3.9818722485241298</v>
      </c>
      <c r="D78" s="4">
        <f t="shared" ref="D78:D80" si="93">POWER(10,C78)</f>
        <v>9591.1845703123254</v>
      </c>
      <c r="E78" s="13">
        <f t="shared" si="75"/>
        <v>7.5290798876951754</v>
      </c>
      <c r="F78" s="13">
        <f t="shared" si="76"/>
        <v>-80.128252087807766</v>
      </c>
      <c r="G78" s="13">
        <f t="shared" si="60"/>
        <v>-2.5558183477160794</v>
      </c>
      <c r="H78" s="4">
        <v>3.75322963497146</v>
      </c>
      <c r="I78" s="9">
        <f t="shared" ref="I78:I80" si="94">POWER(10,H78)</f>
        <v>5665.3876953124764</v>
      </c>
      <c r="J78" s="13">
        <f t="shared" si="87"/>
        <v>4.4473293408202945</v>
      </c>
      <c r="K78" s="13">
        <f t="shared" si="88"/>
        <v>-215.35780072031133</v>
      </c>
      <c r="L78" s="13">
        <f t="shared" si="61"/>
        <v>-4.8422444832427765</v>
      </c>
      <c r="M78" s="3">
        <v>-1083</v>
      </c>
      <c r="N78" s="3"/>
      <c r="O78" s="3"/>
      <c r="P78" s="13">
        <v>2.2519999999999998</v>
      </c>
      <c r="Q78" s="13">
        <f t="shared" si="79"/>
        <v>2868.7898089171972</v>
      </c>
      <c r="R78" s="13">
        <f t="shared" si="80"/>
        <v>-375.10521460251482</v>
      </c>
      <c r="S78" s="13">
        <f t="shared" si="62"/>
        <v>-6.7679004446994853</v>
      </c>
      <c r="T78" s="43">
        <v>204</v>
      </c>
      <c r="U78" s="43">
        <v>45</v>
      </c>
      <c r="V78" s="4">
        <v>6207</v>
      </c>
      <c r="W78" s="4">
        <v>7801</v>
      </c>
      <c r="X78" s="4">
        <v>8204</v>
      </c>
      <c r="Y78" s="4">
        <v>3032</v>
      </c>
      <c r="Z78" s="4">
        <v>1471</v>
      </c>
      <c r="AA78" s="4">
        <v>2553</v>
      </c>
      <c r="AB78" s="4">
        <v>2434</v>
      </c>
      <c r="AC78" s="4">
        <v>3914</v>
      </c>
      <c r="AD78" s="13">
        <f t="shared" si="65"/>
        <v>-3.6953329072104952</v>
      </c>
      <c r="AE78" s="13">
        <f t="shared" si="66"/>
        <v>-3.0540593525217248</v>
      </c>
      <c r="AF78" s="13">
        <f t="shared" si="67"/>
        <v>-2.9709488956172065</v>
      </c>
      <c r="AG78" s="13">
        <f t="shared" si="68"/>
        <v>-7.3367040413387388</v>
      </c>
      <c r="AH78" s="13">
        <f t="shared" si="69"/>
        <v>-10.154672738385202</v>
      </c>
      <c r="AI78" s="13">
        <f t="shared" si="70"/>
        <v>-6.9907205920240392</v>
      </c>
      <c r="AJ78" s="13">
        <f t="shared" si="71"/>
        <v>-7.5147646916414033</v>
      </c>
      <c r="AK78" s="15">
        <f t="shared" si="63"/>
        <v>3.0724900000000002</v>
      </c>
      <c r="AL78" s="13">
        <f t="shared" si="89"/>
        <v>-266.86254471129274</v>
      </c>
      <c r="AM78" s="13">
        <f t="shared" si="72"/>
        <v>-5.6450337418288683</v>
      </c>
      <c r="AN78" s="17">
        <f t="shared" si="64"/>
        <v>2.2880787499999999</v>
      </c>
      <c r="AO78" s="13">
        <f t="shared" si="90"/>
        <v>-379.22301625326486</v>
      </c>
      <c r="AP78" s="13">
        <f t="shared" si="73"/>
        <v>-6.8054716563576019</v>
      </c>
      <c r="AQ78" s="10" t="s">
        <v>237</v>
      </c>
      <c r="AR78" s="10" t="s">
        <v>235</v>
      </c>
      <c r="AS78">
        <v>160.22</v>
      </c>
    </row>
    <row r="79" spans="1:45" ht="14">
      <c r="A79" s="7" t="s">
        <v>113</v>
      </c>
      <c r="B79" s="7" t="s">
        <v>46</v>
      </c>
      <c r="C79" s="4">
        <v>4.1156847012110296</v>
      </c>
      <c r="D79" s="4">
        <f t="shared" si="93"/>
        <v>13052.229492187495</v>
      </c>
      <c r="E79" s="13">
        <f t="shared" ref="E79:E98" si="95">D79*0.785/1000</f>
        <v>10.246000151367182</v>
      </c>
      <c r="F79" s="13">
        <f t="shared" ref="F79:F98" si="96">(1-13.562/E79)*100</f>
        <v>-32.363847351596455</v>
      </c>
      <c r="G79" s="13">
        <f t="shared" si="60"/>
        <v>-1.2176938208470798</v>
      </c>
      <c r="H79" s="4">
        <v>3.6308573901012702</v>
      </c>
      <c r="I79" s="9">
        <f t="shared" si="94"/>
        <v>4274.2250976561754</v>
      </c>
      <c r="J79" s="13">
        <f t="shared" ref="J79:J131" si="97">I79*0.785/1000</f>
        <v>3.3552667016600974</v>
      </c>
      <c r="K79" s="13">
        <f t="shared" ref="K79:K131" si="98">(1-14.025/J79)*100</f>
        <v>-317.99955851678794</v>
      </c>
      <c r="L79" s="13">
        <f t="shared" si="61"/>
        <v>-6.0659669319446783</v>
      </c>
      <c r="M79" s="3">
        <v>-975</v>
      </c>
      <c r="N79" s="3"/>
      <c r="O79" s="3"/>
      <c r="P79" s="13">
        <v>1.117</v>
      </c>
      <c r="Q79" s="13">
        <f t="shared" si="79"/>
        <v>1422.9299363057323</v>
      </c>
      <c r="R79" s="13">
        <f t="shared" si="80"/>
        <v>-135.65387420559904</v>
      </c>
      <c r="S79" s="13">
        <f t="shared" si="62"/>
        <v>-3.7227483140624895</v>
      </c>
      <c r="T79" s="43">
        <v>187</v>
      </c>
      <c r="U79" s="43">
        <v>40</v>
      </c>
      <c r="V79" s="4">
        <v>5160</v>
      </c>
      <c r="W79" s="4">
        <v>7292</v>
      </c>
      <c r="X79" s="4">
        <v>5691</v>
      </c>
      <c r="Y79" s="4">
        <v>2476</v>
      </c>
      <c r="Z79" s="4">
        <v>2494</v>
      </c>
      <c r="AA79" s="4">
        <v>2132</v>
      </c>
      <c r="AB79" s="4">
        <v>3325</v>
      </c>
      <c r="AC79" s="4">
        <v>6143</v>
      </c>
      <c r="AD79" s="13">
        <f t="shared" si="65"/>
        <v>-4.4976533447923526</v>
      </c>
      <c r="AE79" s="13">
        <f t="shared" si="66"/>
        <v>-3.3470955317059783</v>
      </c>
      <c r="AF79" s="13">
        <f t="shared" si="67"/>
        <v>-4.5593195564972442</v>
      </c>
      <c r="AG79" s="13">
        <f t="shared" si="68"/>
        <v>-8.2164896074580955</v>
      </c>
      <c r="AH79" s="13">
        <f t="shared" si="69"/>
        <v>-7.8618349742352631</v>
      </c>
      <c r="AI79" s="13">
        <f t="shared" si="70"/>
        <v>-7.7733567365211957</v>
      </c>
      <c r="AJ79" s="13">
        <f t="shared" si="71"/>
        <v>-6.1600539341906311</v>
      </c>
      <c r="AK79" s="15">
        <f t="shared" si="63"/>
        <v>4.8222550000000002</v>
      </c>
      <c r="AL79" s="13">
        <f t="shared" si="89"/>
        <v>-133.74572684356178</v>
      </c>
      <c r="AM79" s="13">
        <f t="shared" si="72"/>
        <v>-3.6874368018530603</v>
      </c>
      <c r="AN79" s="17">
        <f t="shared" si="64"/>
        <v>2.6099941666666666</v>
      </c>
      <c r="AO79" s="13">
        <f t="shared" si="90"/>
        <v>-320.11588148504802</v>
      </c>
      <c r="AP79" s="13">
        <f t="shared" si="73"/>
        <v>-6.2337859666192488</v>
      </c>
      <c r="AQ79" s="10" t="s">
        <v>237</v>
      </c>
      <c r="AR79" s="10" t="s">
        <v>235</v>
      </c>
      <c r="AS79">
        <v>160.22</v>
      </c>
    </row>
    <row r="80" spans="1:45" ht="14">
      <c r="A80" s="7" t="s">
        <v>113</v>
      </c>
      <c r="B80" s="7" t="s">
        <v>46</v>
      </c>
      <c r="C80" s="4">
        <v>4.2085982194235596</v>
      </c>
      <c r="D80" s="4">
        <f t="shared" si="93"/>
        <v>16165.837890624989</v>
      </c>
      <c r="E80" s="13">
        <f t="shared" si="95"/>
        <v>12.690182744140616</v>
      </c>
      <c r="F80" s="13">
        <f t="shared" si="96"/>
        <v>-6.8700134067172902</v>
      </c>
      <c r="G80" s="13">
        <f t="shared" si="60"/>
        <v>-0.28855863872178578</v>
      </c>
      <c r="H80" s="4">
        <v>3.7361259956505899</v>
      </c>
      <c r="I80" s="9">
        <f t="shared" si="94"/>
        <v>5446.60644531249</v>
      </c>
      <c r="J80" s="13">
        <f t="shared" si="97"/>
        <v>4.2755860595703048</v>
      </c>
      <c r="K80" s="13">
        <f t="shared" si="98"/>
        <v>-228.0252064768288</v>
      </c>
      <c r="L80" s="13">
        <f t="shared" si="61"/>
        <v>-5.0132808764514802</v>
      </c>
      <c r="M80" s="3">
        <v>-980</v>
      </c>
      <c r="N80" s="3"/>
      <c r="O80" s="3"/>
      <c r="P80" s="13">
        <v>0.69199999999999995</v>
      </c>
      <c r="Q80" s="13">
        <f t="shared" si="79"/>
        <v>881.52866242038215</v>
      </c>
      <c r="R80" s="13">
        <f t="shared" si="80"/>
        <v>-45.991478021731936</v>
      </c>
      <c r="S80" s="13">
        <f t="shared" si="62"/>
        <v>-1.6432775274739777</v>
      </c>
      <c r="T80" s="43">
        <v>187</v>
      </c>
      <c r="U80" s="43">
        <v>45</v>
      </c>
      <c r="V80" s="4">
        <v>6204</v>
      </c>
      <c r="W80" s="4">
        <v>8605</v>
      </c>
      <c r="X80" s="4">
        <v>9142</v>
      </c>
      <c r="Y80" s="4">
        <v>3405</v>
      </c>
      <c r="Z80" s="4">
        <v>3290</v>
      </c>
      <c r="AA80" s="4">
        <v>3599</v>
      </c>
      <c r="AB80" s="4">
        <v>5192</v>
      </c>
      <c r="AC80" s="4">
        <v>9124</v>
      </c>
      <c r="AD80" s="13">
        <f t="shared" si="65"/>
        <v>-3.6974324696487919</v>
      </c>
      <c r="AE80" s="13">
        <f t="shared" si="66"/>
        <v>-2.628053384899574</v>
      </c>
      <c r="AF80" s="13">
        <f t="shared" si="67"/>
        <v>-2.500793243047374</v>
      </c>
      <c r="AG80" s="13">
        <f t="shared" si="68"/>
        <v>-6.8328248484508594</v>
      </c>
      <c r="AH80" s="13">
        <f t="shared" si="69"/>
        <v>-6.6588404861607584</v>
      </c>
      <c r="AI80" s="13">
        <f t="shared" si="70"/>
        <v>-5.4994102735374293</v>
      </c>
      <c r="AJ80" s="13">
        <f t="shared" si="71"/>
        <v>-4.2246235926587374</v>
      </c>
      <c r="AK80" s="15">
        <f t="shared" si="63"/>
        <v>7.1623400000000004</v>
      </c>
      <c r="AL80" s="13">
        <f t="shared" si="89"/>
        <v>-57.376150811047786</v>
      </c>
      <c r="AM80" s="13">
        <f t="shared" si="72"/>
        <v>-1.9693891890025836</v>
      </c>
      <c r="AN80" s="17">
        <f t="shared" si="64"/>
        <v>3.8883584895833332</v>
      </c>
      <c r="AO80" s="13">
        <f t="shared" si="90"/>
        <v>-181.99560378433577</v>
      </c>
      <c r="AP80" s="13">
        <f t="shared" si="73"/>
        <v>-4.502518352088857</v>
      </c>
      <c r="AQ80" s="10" t="s">
        <v>237</v>
      </c>
      <c r="AR80" s="10" t="s">
        <v>235</v>
      </c>
      <c r="AS80">
        <v>160.22</v>
      </c>
    </row>
    <row r="81" spans="1:45" ht="13" customHeight="1">
      <c r="A81" s="7" t="s">
        <v>114</v>
      </c>
      <c r="B81" s="7" t="s">
        <v>47</v>
      </c>
      <c r="C81" s="4">
        <v>4.6186025064698901</v>
      </c>
      <c r="D81" s="4">
        <f t="shared" ref="D81:D83" si="99">POWER(10,C81)</f>
        <v>41553.011718749542</v>
      </c>
      <c r="E81" s="13">
        <f t="shared" si="95"/>
        <v>32.619114199218394</v>
      </c>
      <c r="F81" s="13">
        <f t="shared" si="96"/>
        <v>58.423150557764167</v>
      </c>
      <c r="G81" s="13">
        <f t="shared" si="60"/>
        <v>3.811484231741527</v>
      </c>
      <c r="H81" s="4">
        <v>4.3426645907232704</v>
      </c>
      <c r="I81" s="9">
        <f t="shared" ref="I81:I83" si="100">POWER(10,H81)</f>
        <v>22012.257812499825</v>
      </c>
      <c r="J81" s="13">
        <f t="shared" si="97"/>
        <v>17.279622382812363</v>
      </c>
      <c r="K81" s="13">
        <f t="shared" si="98"/>
        <v>18.835031869965281</v>
      </c>
      <c r="L81" s="13">
        <f t="shared" si="61"/>
        <v>1.0521050742753248</v>
      </c>
      <c r="M81" s="3">
        <v>-595</v>
      </c>
      <c r="N81" s="3">
        <v>-485</v>
      </c>
      <c r="O81" s="3">
        <f t="shared" ref="O81:O112" si="101">N81-M81</f>
        <v>110</v>
      </c>
      <c r="P81" s="13">
        <v>0.28100000000000003</v>
      </c>
      <c r="Q81" s="13">
        <f t="shared" si="79"/>
        <v>357.96178343949043</v>
      </c>
      <c r="R81" s="13">
        <f t="shared" si="80"/>
        <v>40.717333346666663</v>
      </c>
      <c r="S81" s="13">
        <f t="shared" si="62"/>
        <v>2.2707202180428014</v>
      </c>
      <c r="T81" s="43">
        <v>172</v>
      </c>
      <c r="U81" s="43">
        <v>129</v>
      </c>
      <c r="V81" s="4">
        <v>16830</v>
      </c>
      <c r="W81" s="4">
        <v>22149</v>
      </c>
      <c r="X81" s="4">
        <v>31078</v>
      </c>
      <c r="Y81" s="4">
        <v>39228</v>
      </c>
      <c r="Z81" s="4">
        <v>34491</v>
      </c>
      <c r="AA81" s="4">
        <v>28623</v>
      </c>
      <c r="AB81" s="4">
        <v>25828</v>
      </c>
      <c r="AC81" s="4">
        <v>28911</v>
      </c>
      <c r="AD81" s="13">
        <f t="shared" si="65"/>
        <v>0.63669079869377299</v>
      </c>
      <c r="AE81" s="13">
        <f t="shared" si="66"/>
        <v>1.477979099885909</v>
      </c>
      <c r="AF81" s="13">
        <f t="shared" si="67"/>
        <v>2.8133252109373967</v>
      </c>
      <c r="AG81" s="13">
        <f t="shared" si="68"/>
        <v>3.7819656553410397</v>
      </c>
      <c r="AH81" s="13">
        <f t="shared" si="69"/>
        <v>3.5462583951447701</v>
      </c>
      <c r="AI81" s="13">
        <f t="shared" si="70"/>
        <v>3.5059227656193865</v>
      </c>
      <c r="AJ81" s="13">
        <f t="shared" si="71"/>
        <v>2.7429373467561535</v>
      </c>
      <c r="AK81" s="15">
        <f t="shared" si="63"/>
        <v>22.695135000000001</v>
      </c>
      <c r="AL81" s="13">
        <f t="shared" si="89"/>
        <v>50.33378298917367</v>
      </c>
      <c r="AM81" s="13">
        <f t="shared" si="72"/>
        <v>3.0393891819868131</v>
      </c>
      <c r="AN81" s="17">
        <f t="shared" si="64"/>
        <v>22.863182239583335</v>
      </c>
      <c r="AO81" s="13">
        <f t="shared" si="90"/>
        <v>52.040796923640187</v>
      </c>
      <c r="AP81" s="13">
        <f t="shared" si="73"/>
        <v>3.1911854471371495</v>
      </c>
      <c r="AQ81" s="10" t="s">
        <v>238</v>
      </c>
      <c r="AR81" s="10" t="s">
        <v>236</v>
      </c>
      <c r="AS81">
        <v>76.12</v>
      </c>
    </row>
    <row r="82" spans="1:45" ht="14">
      <c r="A82" s="7" t="s">
        <v>114</v>
      </c>
      <c r="B82" s="7" t="s">
        <v>47</v>
      </c>
      <c r="C82" s="4">
        <v>4.6781839012787998</v>
      </c>
      <c r="D82" s="4">
        <f t="shared" si="99"/>
        <v>47663.277343749476</v>
      </c>
      <c r="E82" s="13">
        <f t="shared" si="95"/>
        <v>37.415672714843339</v>
      </c>
      <c r="F82" s="13">
        <f t="shared" si="96"/>
        <v>63.753157391127814</v>
      </c>
      <c r="G82" s="13">
        <f t="shared" si="60"/>
        <v>4.407298179830617</v>
      </c>
      <c r="H82" s="4">
        <v>4.2573243758684702</v>
      </c>
      <c r="I82" s="9">
        <f t="shared" si="100"/>
        <v>18085.244140624822</v>
      </c>
      <c r="J82" s="13">
        <f t="shared" si="97"/>
        <v>14.196916650390484</v>
      </c>
      <c r="K82" s="13">
        <f t="shared" si="98"/>
        <v>1.2109435775672805</v>
      </c>
      <c r="L82" s="13">
        <f t="shared" si="61"/>
        <v>0.19870292572732423</v>
      </c>
      <c r="M82" s="3">
        <v>-605</v>
      </c>
      <c r="N82" s="3">
        <v>-494</v>
      </c>
      <c r="O82" s="3">
        <f t="shared" si="101"/>
        <v>111</v>
      </c>
      <c r="P82" s="13">
        <v>0.25</v>
      </c>
      <c r="Q82" s="13">
        <f t="shared" si="79"/>
        <v>318.4713375796178</v>
      </c>
      <c r="R82" s="13">
        <f t="shared" si="80"/>
        <v>47.257414009489921</v>
      </c>
      <c r="S82" s="13">
        <f t="shared" si="62"/>
        <v>2.7783833303732246</v>
      </c>
      <c r="T82" s="43">
        <v>157</v>
      </c>
      <c r="U82" s="43">
        <v>112</v>
      </c>
      <c r="V82" s="23">
        <v>13600</v>
      </c>
      <c r="W82" s="4">
        <v>13900</v>
      </c>
      <c r="X82" s="4">
        <v>11000</v>
      </c>
      <c r="Y82" s="4">
        <v>21428</v>
      </c>
      <c r="Z82" s="4">
        <v>21833</v>
      </c>
      <c r="AA82" s="4">
        <v>21868</v>
      </c>
      <c r="AB82" s="4">
        <v>22898</v>
      </c>
      <c r="AC82" s="4">
        <v>23800</v>
      </c>
      <c r="AD82" s="13">
        <f t="shared" si="65"/>
        <v>-0.28876127736229079</v>
      </c>
      <c r="AE82" s="13">
        <f t="shared" si="66"/>
        <v>-0.54541412899441455</v>
      </c>
      <c r="AF82" s="13">
        <f t="shared" si="67"/>
        <v>-1.697278560998243</v>
      </c>
      <c r="AG82" s="13">
        <f t="shared" si="68"/>
        <v>1.1558203660693194</v>
      </c>
      <c r="AH82" s="13">
        <f t="shared" si="69"/>
        <v>1.5603346820535045</v>
      </c>
      <c r="AI82" s="13">
        <f t="shared" si="70"/>
        <v>2.3368619121286534</v>
      </c>
      <c r="AJ82" s="13">
        <f t="shared" si="71"/>
        <v>2.2200050797621396</v>
      </c>
      <c r="AK82" s="15">
        <f t="shared" si="63"/>
        <v>18.683</v>
      </c>
      <c r="AL82" s="13">
        <f t="shared" si="89"/>
        <v>39.668067226890756</v>
      </c>
      <c r="AM82" s="13">
        <f t="shared" si="72"/>
        <v>2.1945276155164257</v>
      </c>
      <c r="AN82" s="17">
        <f t="shared" si="64"/>
        <v>16.547979895833333</v>
      </c>
      <c r="AO82" s="13">
        <f t="shared" si="90"/>
        <v>33.73813559707726</v>
      </c>
      <c r="AP82" s="13">
        <f t="shared" si="73"/>
        <v>1.7872685124502214</v>
      </c>
      <c r="AQ82" s="10" t="s">
        <v>238</v>
      </c>
      <c r="AR82" s="10" t="s">
        <v>236</v>
      </c>
      <c r="AS82">
        <v>76.12</v>
      </c>
    </row>
    <row r="83" spans="1:45" ht="14">
      <c r="A83" s="7" t="s">
        <v>114</v>
      </c>
      <c r="B83" s="7" t="s">
        <v>47</v>
      </c>
      <c r="C83" s="4">
        <v>4.5863353991948799</v>
      </c>
      <c r="D83" s="4">
        <f t="shared" si="99"/>
        <v>38577.617187499854</v>
      </c>
      <c r="E83" s="13">
        <f t="shared" si="95"/>
        <v>30.283429492187388</v>
      </c>
      <c r="F83" s="13">
        <f t="shared" si="96"/>
        <v>55.216432790418388</v>
      </c>
      <c r="G83" s="13">
        <f t="shared" si="60"/>
        <v>3.4888131589914235</v>
      </c>
      <c r="H83" s="4">
        <v>4.2667787507425201</v>
      </c>
      <c r="I83" s="9">
        <f t="shared" si="100"/>
        <v>18483.267578124764</v>
      </c>
      <c r="J83" s="13">
        <f t="shared" si="97"/>
        <v>14.50936504882794</v>
      </c>
      <c r="K83" s="13">
        <f t="shared" si="98"/>
        <v>3.3382925248480522</v>
      </c>
      <c r="L83" s="13">
        <f t="shared" si="61"/>
        <v>0.29324667446782615</v>
      </c>
      <c r="M83" s="3">
        <v>-594</v>
      </c>
      <c r="N83" s="3">
        <v>-515</v>
      </c>
      <c r="O83" s="3">
        <f t="shared" si="101"/>
        <v>79</v>
      </c>
      <c r="P83" s="13">
        <v>0.27700000000000002</v>
      </c>
      <c r="Q83" s="13">
        <f t="shared" si="79"/>
        <v>352.86624203821657</v>
      </c>
      <c r="R83" s="13">
        <f t="shared" si="80"/>
        <v>41.561214722514819</v>
      </c>
      <c r="S83" s="13">
        <f t="shared" si="62"/>
        <v>2.3329857264491145</v>
      </c>
      <c r="T83" s="43">
        <v>146</v>
      </c>
      <c r="U83" s="43">
        <v>137</v>
      </c>
      <c r="V83" s="4">
        <v>10420</v>
      </c>
      <c r="W83" s="4">
        <v>18244</v>
      </c>
      <c r="X83" s="4">
        <v>34093</v>
      </c>
      <c r="Y83" s="4">
        <v>44386</v>
      </c>
      <c r="Z83" s="4">
        <v>26379</v>
      </c>
      <c r="AA83" s="4">
        <v>28065</v>
      </c>
      <c r="AB83" s="4">
        <v>27599</v>
      </c>
      <c r="AC83" s="4">
        <v>28895</v>
      </c>
      <c r="AD83" s="13">
        <f t="shared" si="65"/>
        <v>-1.4454731714294089</v>
      </c>
      <c r="AE83" s="13">
        <f t="shared" si="66"/>
        <v>0.6356385041536422</v>
      </c>
      <c r="AF83" s="13">
        <f t="shared" si="67"/>
        <v>3.2154467722284159</v>
      </c>
      <c r="AG83" s="13">
        <f t="shared" si="68"/>
        <v>4.3184640772509697</v>
      </c>
      <c r="AH83" s="13">
        <f t="shared" si="69"/>
        <v>2.3817838131171021</v>
      </c>
      <c r="AI83" s="13">
        <f t="shared" si="70"/>
        <v>3.4204217254903693</v>
      </c>
      <c r="AJ83" s="13">
        <f t="shared" si="71"/>
        <v>3.0309630341464908</v>
      </c>
      <c r="AK83" s="15">
        <f t="shared" si="63"/>
        <v>22.682575</v>
      </c>
      <c r="AL83" s="13">
        <f t="shared" si="89"/>
        <v>50.306281363557702</v>
      </c>
      <c r="AM83" s="13">
        <f t="shared" si="72"/>
        <v>3.0369850329753252</v>
      </c>
      <c r="AN83" s="17">
        <f t="shared" si="64"/>
        <v>22.193503645833335</v>
      </c>
      <c r="AO83" s="13">
        <f t="shared" si="90"/>
        <v>50.593650398869784</v>
      </c>
      <c r="AP83" s="13">
        <f t="shared" si="73"/>
        <v>3.0620773552715406</v>
      </c>
      <c r="AQ83" s="10" t="s">
        <v>238</v>
      </c>
      <c r="AR83" s="10" t="s">
        <v>236</v>
      </c>
      <c r="AS83">
        <v>76.12</v>
      </c>
    </row>
    <row r="84" spans="1:45" ht="13" customHeight="1">
      <c r="A84" s="24" t="s">
        <v>194</v>
      </c>
      <c r="B84" s="7" t="s">
        <v>48</v>
      </c>
      <c r="C84" s="4">
        <v>4.2919345332410197</v>
      </c>
      <c r="D84" s="4">
        <f t="shared" ref="D84:D86" si="102">POWER(10,C84)</f>
        <v>19585.494140624996</v>
      </c>
      <c r="E84" s="13">
        <f t="shared" si="95"/>
        <v>15.374612900390623</v>
      </c>
      <c r="F84" s="13">
        <f t="shared" si="96"/>
        <v>11.789649028136317</v>
      </c>
      <c r="G84" s="13">
        <f t="shared" si="60"/>
        <v>0.54480449945281739</v>
      </c>
      <c r="H84" s="4">
        <v>4.36676481495416</v>
      </c>
      <c r="I84" s="9">
        <f t="shared" ref="I84:I86" si="103">POWER(10,H84)</f>
        <v>23268.308593749756</v>
      </c>
      <c r="J84" s="13">
        <f t="shared" si="97"/>
        <v>18.26562224609356</v>
      </c>
      <c r="K84" s="13">
        <f t="shared" si="98"/>
        <v>23.216412717614887</v>
      </c>
      <c r="L84" s="13">
        <f t="shared" si="61"/>
        <v>1.29310731658422</v>
      </c>
      <c r="M84" s="3">
        <v>-629</v>
      </c>
      <c r="N84" s="3">
        <v>-505</v>
      </c>
      <c r="O84" s="3">
        <f t="shared" si="101"/>
        <v>124</v>
      </c>
      <c r="P84" s="13">
        <v>0.38200000000000001</v>
      </c>
      <c r="Q84" s="13">
        <f t="shared" si="79"/>
        <v>486.62420382165601</v>
      </c>
      <c r="R84" s="13">
        <f t="shared" si="80"/>
        <v>19.409328606500587</v>
      </c>
      <c r="S84" s="13">
        <f t="shared" si="62"/>
        <v>0.9371497879765136</v>
      </c>
      <c r="T84" s="43">
        <v>175.2</v>
      </c>
      <c r="U84" s="43">
        <v>122</v>
      </c>
      <c r="V84" s="4">
        <v>27270</v>
      </c>
      <c r="W84" s="4">
        <v>27331</v>
      </c>
      <c r="X84" s="4">
        <v>27814</v>
      </c>
      <c r="Y84" s="4">
        <v>25505</v>
      </c>
      <c r="Z84" s="4">
        <v>32949</v>
      </c>
      <c r="AA84" s="4">
        <v>20922</v>
      </c>
      <c r="AB84" s="4">
        <v>15535</v>
      </c>
      <c r="AC84" s="4">
        <v>18348</v>
      </c>
      <c r="AD84" s="13">
        <f t="shared" si="65"/>
        <v>2.732701018351833</v>
      </c>
      <c r="AE84" s="13">
        <f t="shared" si="66"/>
        <v>2.3909930900881746</v>
      </c>
      <c r="AF84" s="13">
        <f t="shared" si="67"/>
        <v>2.3314290905910195</v>
      </c>
      <c r="AG84" s="13">
        <f t="shared" si="68"/>
        <v>1.9122572677331593</v>
      </c>
      <c r="AH84" s="13">
        <f t="shared" si="69"/>
        <v>3.3476229175480574</v>
      </c>
      <c r="AI84" s="13">
        <f t="shared" si="70"/>
        <v>2.1448032375296595</v>
      </c>
      <c r="AJ84" s="13">
        <f t="shared" si="71"/>
        <v>0.53514214532806714</v>
      </c>
      <c r="AK84" s="15">
        <f t="shared" si="63"/>
        <v>14.403180000000001</v>
      </c>
      <c r="AL84" s="13">
        <f t="shared" si="89"/>
        <v>21.740789186832355</v>
      </c>
      <c r="AM84" s="13">
        <f t="shared" si="72"/>
        <v>1.0646453595507563</v>
      </c>
      <c r="AN84" s="17">
        <f t="shared" si="64"/>
        <v>17.276419010416667</v>
      </c>
      <c r="AO84" s="13">
        <f t="shared" si="90"/>
        <v>36.531986209707298</v>
      </c>
      <c r="AP84" s="13">
        <f t="shared" si="73"/>
        <v>1.9743559522994518</v>
      </c>
      <c r="AQ84" s="10" t="s">
        <v>239</v>
      </c>
      <c r="AR84" s="10" t="s">
        <v>235</v>
      </c>
      <c r="AS84">
        <v>227.26</v>
      </c>
    </row>
    <row r="85" spans="1:45" ht="14">
      <c r="A85" s="24" t="s">
        <v>194</v>
      </c>
      <c r="B85" s="7" t="s">
        <v>48</v>
      </c>
      <c r="C85" s="4">
        <v>4.3044728980029197</v>
      </c>
      <c r="D85" s="4">
        <f t="shared" si="102"/>
        <v>20159.181640624825</v>
      </c>
      <c r="E85" s="13">
        <f t="shared" si="95"/>
        <v>15.82495758789049</v>
      </c>
      <c r="F85" s="13">
        <f t="shared" si="96"/>
        <v>14.299928295682395</v>
      </c>
      <c r="G85" s="13">
        <f t="shared" si="60"/>
        <v>0.67018814707181806</v>
      </c>
      <c r="H85" s="4">
        <v>4.4086417946596201</v>
      </c>
      <c r="I85" s="9">
        <f t="shared" si="103"/>
        <v>25623.697265624975</v>
      </c>
      <c r="J85" s="13">
        <f t="shared" si="97"/>
        <v>20.114602353515604</v>
      </c>
      <c r="K85" s="13">
        <f t="shared" si="98"/>
        <v>30.274535118767943</v>
      </c>
      <c r="L85" s="13">
        <f t="shared" si="61"/>
        <v>1.7118771136388198</v>
      </c>
      <c r="M85" s="3">
        <v>-627</v>
      </c>
      <c r="N85" s="3">
        <v>-518</v>
      </c>
      <c r="O85" s="3">
        <f t="shared" si="101"/>
        <v>109</v>
      </c>
      <c r="P85" s="13">
        <v>0.40100000000000002</v>
      </c>
      <c r="Q85" s="13">
        <f t="shared" si="79"/>
        <v>510.828025477707</v>
      </c>
      <c r="R85" s="13">
        <f t="shared" si="80"/>
        <v>15.400892071221817</v>
      </c>
      <c r="S85" s="13">
        <f t="shared" si="62"/>
        <v>0.7263396908917773</v>
      </c>
      <c r="T85" s="43">
        <v>189</v>
      </c>
      <c r="U85" s="43">
        <v>127</v>
      </c>
      <c r="V85" s="4">
        <v>14757</v>
      </c>
      <c r="W85" s="4">
        <v>22221</v>
      </c>
      <c r="X85" s="4">
        <v>22518</v>
      </c>
      <c r="Y85" s="4">
        <v>21654</v>
      </c>
      <c r="Z85" s="4">
        <v>35084</v>
      </c>
      <c r="AA85" s="4">
        <v>14725</v>
      </c>
      <c r="AB85" s="4">
        <v>24452</v>
      </c>
      <c r="AC85" s="4">
        <v>20316</v>
      </c>
      <c r="AD85" s="13">
        <f t="shared" si="65"/>
        <v>6.5830411725471771E-2</v>
      </c>
      <c r="AE85" s="13">
        <f t="shared" si="66"/>
        <v>1.4920738621772065</v>
      </c>
      <c r="AF85" s="13">
        <f t="shared" si="67"/>
        <v>1.4140927353867667</v>
      </c>
      <c r="AG85" s="13">
        <f t="shared" si="68"/>
        <v>1.2013853134926094</v>
      </c>
      <c r="AH85" s="13">
        <f t="shared" si="69"/>
        <v>3.6202915577031902</v>
      </c>
      <c r="AI85" s="13">
        <f t="shared" si="70"/>
        <v>0.61932429452485049</v>
      </c>
      <c r="AJ85" s="13">
        <f t="shared" si="71"/>
        <v>2.505173440595561</v>
      </c>
      <c r="AK85" s="15">
        <f t="shared" si="63"/>
        <v>15.948060000000002</v>
      </c>
      <c r="AL85" s="13">
        <f t="shared" si="89"/>
        <v>29.321716873400284</v>
      </c>
      <c r="AM85" s="13">
        <f t="shared" si="72"/>
        <v>1.507140086516908</v>
      </c>
      <c r="AN85" s="17">
        <f t="shared" si="64"/>
        <v>17.664756874999998</v>
      </c>
      <c r="AO85" s="13">
        <f t="shared" si="90"/>
        <v>37.927252112265478</v>
      </c>
      <c r="AP85" s="13">
        <f t="shared" si="73"/>
        <v>2.0708953114159048</v>
      </c>
      <c r="AQ85" s="10" t="s">
        <v>239</v>
      </c>
      <c r="AR85" s="10" t="s">
        <v>235</v>
      </c>
      <c r="AS85">
        <v>227.26</v>
      </c>
    </row>
    <row r="86" spans="1:45" ht="14">
      <c r="A86" s="24" t="s">
        <v>194</v>
      </c>
      <c r="B86" s="7" t="s">
        <v>48</v>
      </c>
      <c r="C86" s="4">
        <v>4.3675472588074102</v>
      </c>
      <c r="D86" s="4">
        <f t="shared" si="102"/>
        <v>23310.267578124807</v>
      </c>
      <c r="E86" s="13">
        <f t="shared" si="95"/>
        <v>18.298560048827973</v>
      </c>
      <c r="F86" s="13">
        <f t="shared" si="96"/>
        <v>25.884878570712189</v>
      </c>
      <c r="G86" s="13">
        <f t="shared" si="60"/>
        <v>1.3009317551167272</v>
      </c>
      <c r="H86" s="4">
        <v>4.6830325019137398</v>
      </c>
      <c r="I86" s="9">
        <f t="shared" si="103"/>
        <v>48198.38671875008</v>
      </c>
      <c r="J86" s="13">
        <f t="shared" si="97"/>
        <v>37.835733574218814</v>
      </c>
      <c r="K86" s="13">
        <f t="shared" si="98"/>
        <v>62.93186711316573</v>
      </c>
      <c r="L86" s="13">
        <f t="shared" si="61"/>
        <v>4.4557841861800238</v>
      </c>
      <c r="M86" s="3">
        <v>-614</v>
      </c>
      <c r="N86" s="3">
        <v>-510</v>
      </c>
      <c r="O86" s="3">
        <f t="shared" si="101"/>
        <v>104</v>
      </c>
      <c r="P86" s="13">
        <v>0.36099999999999999</v>
      </c>
      <c r="Q86" s="13">
        <f t="shared" si="79"/>
        <v>459.87261146496814</v>
      </c>
      <c r="R86" s="13">
        <f t="shared" si="80"/>
        <v>23.839705829703426</v>
      </c>
      <c r="S86" s="13">
        <f t="shared" si="62"/>
        <v>1.1827113980370216</v>
      </c>
      <c r="T86" s="43">
        <v>186</v>
      </c>
      <c r="U86" s="43">
        <v>137</v>
      </c>
      <c r="V86" s="4">
        <v>37818</v>
      </c>
      <c r="W86" s="4">
        <v>38389</v>
      </c>
      <c r="X86" s="4">
        <v>45151</v>
      </c>
      <c r="Y86" s="4">
        <v>36479</v>
      </c>
      <c r="Z86" s="4">
        <v>38361</v>
      </c>
      <c r="AA86" s="4">
        <v>24691</v>
      </c>
      <c r="AB86" s="4">
        <v>31603</v>
      </c>
      <c r="AC86" s="4">
        <v>19598</v>
      </c>
      <c r="AD86" s="13">
        <f t="shared" si="65"/>
        <v>4.1528352140281211</v>
      </c>
      <c r="AE86" s="13">
        <f t="shared" si="66"/>
        <v>3.866505861183787</v>
      </c>
      <c r="AF86" s="13">
        <f t="shared" si="67"/>
        <v>4.4354683221035698</v>
      </c>
      <c r="AG86" s="13">
        <f t="shared" si="68"/>
        <v>3.4664332339706898</v>
      </c>
      <c r="AH86" s="13">
        <f t="shared" si="69"/>
        <v>4.0080997333041806</v>
      </c>
      <c r="AI86" s="13">
        <f t="shared" si="70"/>
        <v>2.86415805463034</v>
      </c>
      <c r="AJ86" s="13">
        <f t="shared" si="71"/>
        <v>3.6193126809198599</v>
      </c>
      <c r="AK86" s="15">
        <f t="shared" si="63"/>
        <v>15.38443</v>
      </c>
      <c r="AL86" s="13">
        <f t="shared" si="89"/>
        <v>26.732319624451474</v>
      </c>
      <c r="AM86" s="13">
        <f t="shared" si="72"/>
        <v>1.3508755782698503</v>
      </c>
      <c r="AN86" s="17">
        <f t="shared" si="64"/>
        <v>23.731130572916665</v>
      </c>
      <c r="AO86" s="13">
        <f t="shared" si="90"/>
        <v>53.794868869358083</v>
      </c>
      <c r="AP86" s="13">
        <f t="shared" si="73"/>
        <v>3.3530029554557652</v>
      </c>
      <c r="AQ86" s="10" t="s">
        <v>239</v>
      </c>
      <c r="AR86" s="10" t="s">
        <v>235</v>
      </c>
      <c r="AS86">
        <v>227.26</v>
      </c>
    </row>
    <row r="87" spans="1:45" ht="13" customHeight="1">
      <c r="A87" s="7" t="s">
        <v>115</v>
      </c>
      <c r="B87" s="7" t="s">
        <v>49</v>
      </c>
      <c r="C87" s="4">
        <v>5.5428380651802502</v>
      </c>
      <c r="D87" s="4">
        <f t="shared" ref="D87:D89" si="104">POWER(10,C87)</f>
        <v>349010.15624999988</v>
      </c>
      <c r="E87" s="13">
        <f t="shared" si="95"/>
        <v>273.97297265624996</v>
      </c>
      <c r="F87" s="13">
        <f t="shared" si="96"/>
        <v>95.0498766836333</v>
      </c>
      <c r="G87" s="13">
        <f t="shared" si="60"/>
        <v>13.053839818845123</v>
      </c>
      <c r="H87" s="4">
        <v>5.3375956432848604</v>
      </c>
      <c r="I87" s="9">
        <f t="shared" ref="I87:I89" si="105">POWER(10,H87)</f>
        <v>217568.31249999569</v>
      </c>
      <c r="J87" s="13">
        <f t="shared" si="97"/>
        <v>170.7911253124966</v>
      </c>
      <c r="K87" s="13">
        <f t="shared" si="98"/>
        <v>91.788215005704515</v>
      </c>
      <c r="L87" s="13">
        <f t="shared" si="61"/>
        <v>11.001415599891223</v>
      </c>
      <c r="M87" s="3">
        <v>-590</v>
      </c>
      <c r="N87" s="3">
        <v>-477</v>
      </c>
      <c r="O87" s="3">
        <f t="shared" si="101"/>
        <v>113</v>
      </c>
      <c r="P87" s="13">
        <v>2.4E-2</v>
      </c>
      <c r="Q87" s="13">
        <f t="shared" si="79"/>
        <v>30.573248407643312</v>
      </c>
      <c r="R87" s="13">
        <f t="shared" si="80"/>
        <v>94.936711744911022</v>
      </c>
      <c r="S87" s="13">
        <f t="shared" si="62"/>
        <v>12.95567099997754</v>
      </c>
      <c r="T87" s="43">
        <v>176</v>
      </c>
      <c r="U87" s="43">
        <v>133</v>
      </c>
      <c r="V87" s="4">
        <v>67633</v>
      </c>
      <c r="W87" s="4">
        <v>32848</v>
      </c>
      <c r="X87" s="4">
        <v>31475</v>
      </c>
      <c r="Y87" s="4">
        <v>56000</v>
      </c>
      <c r="Z87" s="4">
        <v>160731</v>
      </c>
      <c r="AA87" s="4">
        <v>198795</v>
      </c>
      <c r="AB87" s="4">
        <v>221570</v>
      </c>
      <c r="AC87" s="4">
        <v>315563</v>
      </c>
      <c r="AD87" s="13">
        <f t="shared" si="65"/>
        <v>6.6774361576587618</v>
      </c>
      <c r="AE87" s="13">
        <f t="shared" si="66"/>
        <v>3.1895271887298011</v>
      </c>
      <c r="AF87" s="13">
        <f t="shared" si="67"/>
        <v>2.8684519752185085</v>
      </c>
      <c r="AG87" s="13">
        <f t="shared" si="68"/>
        <v>5.3278842591231061</v>
      </c>
      <c r="AH87" s="13">
        <f t="shared" si="69"/>
        <v>10.230197001446905</v>
      </c>
      <c r="AI87" s="13">
        <f t="shared" si="70"/>
        <v>11.922825830178335</v>
      </c>
      <c r="AJ87" s="13">
        <f t="shared" si="71"/>
        <v>12.077139146387633</v>
      </c>
      <c r="AK87" s="15">
        <f t="shared" ref="AK87:AK118" si="106">AC87*0.785/1000</f>
        <v>247.71695500000001</v>
      </c>
      <c r="AL87" s="13">
        <f t="shared" si="89"/>
        <v>95.449720024210691</v>
      </c>
      <c r="AM87" s="13">
        <f t="shared" si="72"/>
        <v>13.419618806616684</v>
      </c>
      <c r="AN87" s="17">
        <f t="shared" ref="AN87:AN118" si="107">(0.785/24000)*(AVERAGE(V87:W87)*0.5+AVERAGE(W87:X87)*1+AVERAGE(X87:Y87)*1+AVERAGE(Y87:Z87)*3+AVERAGE(Z87:AA87)*6+AVERAGE(AA87:AB87)*6+AVERAGE(AB87:AC87)*6)</f>
        <v>143.17051598958332</v>
      </c>
      <c r="AO87" s="13">
        <f t="shared" si="90"/>
        <v>92.341300215193897</v>
      </c>
      <c r="AP87" s="13">
        <f t="shared" si="73"/>
        <v>11.158354568149061</v>
      </c>
      <c r="AQ87" s="10" t="s">
        <v>238</v>
      </c>
      <c r="AR87" s="10" t="s">
        <v>236</v>
      </c>
      <c r="AS87">
        <v>120.2</v>
      </c>
    </row>
    <row r="88" spans="1:45" ht="14">
      <c r="A88" s="7" t="s">
        <v>115</v>
      </c>
      <c r="B88" s="7" t="s">
        <v>49</v>
      </c>
      <c r="C88" s="4">
        <v>5.3642790364810899</v>
      </c>
      <c r="D88" s="4">
        <f t="shared" si="104"/>
        <v>231355.07812499788</v>
      </c>
      <c r="E88" s="13">
        <f t="shared" si="95"/>
        <v>181.61373632812334</v>
      </c>
      <c r="F88" s="13">
        <f t="shared" si="96"/>
        <v>92.532503171732898</v>
      </c>
      <c r="G88" s="13">
        <f t="shared" si="60"/>
        <v>11.26824953185352</v>
      </c>
      <c r="H88" s="4">
        <v>5.2521425515367204</v>
      </c>
      <c r="I88" s="9">
        <f t="shared" si="105"/>
        <v>178707.40624999758</v>
      </c>
      <c r="J88" s="13">
        <f t="shared" si="97"/>
        <v>140.28531390624809</v>
      </c>
      <c r="K88" s="13">
        <f t="shared" si="98"/>
        <v>90.002517291743857</v>
      </c>
      <c r="L88" s="13">
        <f t="shared" si="61"/>
        <v>10.146884682409823</v>
      </c>
      <c r="M88" s="4">
        <v>-615</v>
      </c>
      <c r="N88" s="3">
        <v>-485</v>
      </c>
      <c r="O88" s="3">
        <f t="shared" si="101"/>
        <v>130</v>
      </c>
      <c r="P88" s="13">
        <v>7.0999999999999994E-2</v>
      </c>
      <c r="Q88" s="13">
        <f t="shared" si="79"/>
        <v>90.445859872611464</v>
      </c>
      <c r="R88" s="13">
        <f t="shared" si="80"/>
        <v>85.021105578695128</v>
      </c>
      <c r="S88" s="13">
        <f t="shared" si="62"/>
        <v>8.2451999299028476</v>
      </c>
      <c r="T88" s="43">
        <v>148</v>
      </c>
      <c r="U88" s="43">
        <v>144</v>
      </c>
      <c r="V88" s="4">
        <v>274492</v>
      </c>
      <c r="W88" s="4">
        <v>60513</v>
      </c>
      <c r="X88" s="4">
        <v>81179</v>
      </c>
      <c r="Y88" s="4">
        <v>241028</v>
      </c>
      <c r="Z88" s="4">
        <v>191936</v>
      </c>
      <c r="AA88" s="4">
        <v>182803</v>
      </c>
      <c r="AB88" s="4">
        <v>202859</v>
      </c>
      <c r="AC88" s="4">
        <v>217821</v>
      </c>
      <c r="AD88" s="13">
        <f t="shared" si="65"/>
        <v>12.76114655461142</v>
      </c>
      <c r="AE88" s="13">
        <f t="shared" si="66"/>
        <v>5.8429247094975931</v>
      </c>
      <c r="AF88" s="13">
        <f t="shared" si="67"/>
        <v>6.9832315591837846</v>
      </c>
      <c r="AG88" s="13">
        <f t="shared" si="68"/>
        <v>11.66667896000247</v>
      </c>
      <c r="AH88" s="13">
        <f t="shared" si="69"/>
        <v>11.000764931773642</v>
      </c>
      <c r="AI88" s="13">
        <f t="shared" si="70"/>
        <v>11.558604447038212</v>
      </c>
      <c r="AJ88" s="13">
        <f t="shared" si="71"/>
        <v>11.693972372278111</v>
      </c>
      <c r="AK88" s="15">
        <f t="shared" si="106"/>
        <v>170.989485</v>
      </c>
      <c r="AL88" s="13">
        <f t="shared" si="89"/>
        <v>93.407889964695784</v>
      </c>
      <c r="AM88" s="13">
        <f t="shared" si="72"/>
        <v>11.809755520198911</v>
      </c>
      <c r="AN88" s="17">
        <f t="shared" si="107"/>
        <v>147.46191473958334</v>
      </c>
      <c r="AO88" s="13">
        <f t="shared" si="90"/>
        <v>92.564181728303126</v>
      </c>
      <c r="AP88" s="13">
        <f t="shared" si="73"/>
        <v>11.286617354066015</v>
      </c>
      <c r="AQ88" s="10" t="s">
        <v>238</v>
      </c>
      <c r="AR88" s="10" t="s">
        <v>236</v>
      </c>
      <c r="AS88">
        <v>120.2</v>
      </c>
    </row>
    <row r="89" spans="1:45" ht="14">
      <c r="A89" s="7" t="s">
        <v>115</v>
      </c>
      <c r="B89" s="7" t="s">
        <v>49</v>
      </c>
      <c r="C89" s="4">
        <v>5.4268911028798001</v>
      </c>
      <c r="D89" s="4">
        <f t="shared" si="104"/>
        <v>267233.62499999924</v>
      </c>
      <c r="E89" s="13">
        <f t="shared" si="95"/>
        <v>209.77839562499943</v>
      </c>
      <c r="F89" s="13">
        <f t="shared" si="96"/>
        <v>93.535082600096018</v>
      </c>
      <c r="G89" s="13">
        <f t="shared" si="60"/>
        <v>11.894370195840624</v>
      </c>
      <c r="H89" s="4">
        <v>5.3764353719982996</v>
      </c>
      <c r="I89" s="9">
        <f t="shared" si="105"/>
        <v>237922.42187499892</v>
      </c>
      <c r="J89" s="13">
        <f t="shared" si="97"/>
        <v>186.76910117187415</v>
      </c>
      <c r="K89" s="13">
        <f t="shared" si="98"/>
        <v>92.490727903062776</v>
      </c>
      <c r="L89" s="13">
        <f t="shared" si="61"/>
        <v>11.389812887025617</v>
      </c>
      <c r="M89" s="3">
        <v>-635</v>
      </c>
      <c r="N89" s="3">
        <v>-498</v>
      </c>
      <c r="O89" s="3">
        <f t="shared" si="101"/>
        <v>137</v>
      </c>
      <c r="P89" s="13">
        <v>3.2000000000000001E-2</v>
      </c>
      <c r="Q89" s="13">
        <f t="shared" si="79"/>
        <v>40.764331210191081</v>
      </c>
      <c r="R89" s="13">
        <f t="shared" si="80"/>
        <v>93.248948993214711</v>
      </c>
      <c r="S89" s="13">
        <f t="shared" si="62"/>
        <v>11.706283633894541</v>
      </c>
      <c r="T89" s="43">
        <v>166</v>
      </c>
      <c r="U89" s="43">
        <v>141</v>
      </c>
      <c r="V89" s="4">
        <v>106000</v>
      </c>
      <c r="W89" s="4">
        <v>47628</v>
      </c>
      <c r="X89" s="4">
        <v>41797</v>
      </c>
      <c r="Y89" s="4">
        <v>81857</v>
      </c>
      <c r="Z89" s="4">
        <v>152890</v>
      </c>
      <c r="AA89" s="4">
        <v>176147</v>
      </c>
      <c r="AB89" s="4">
        <v>224268</v>
      </c>
      <c r="AC89" s="4">
        <v>259339</v>
      </c>
      <c r="AD89" s="13">
        <f t="shared" si="65"/>
        <v>8.6289082915832367</v>
      </c>
      <c r="AE89" s="13">
        <f t="shared" si="66"/>
        <v>4.8030613180125172</v>
      </c>
      <c r="AF89" s="13">
        <f t="shared" si="67"/>
        <v>4.1002456993798733</v>
      </c>
      <c r="AG89" s="13">
        <f t="shared" si="68"/>
        <v>6.9765622292754887</v>
      </c>
      <c r="AH89" s="13">
        <f t="shared" si="69"/>
        <v>10.012991340925463</v>
      </c>
      <c r="AI89" s="13">
        <f t="shared" si="70"/>
        <v>11.397523770045584</v>
      </c>
      <c r="AJ89" s="13">
        <f t="shared" si="71"/>
        <v>12.129702670167088</v>
      </c>
      <c r="AK89" s="15">
        <f t="shared" si="106"/>
        <v>203.58111500000001</v>
      </c>
      <c r="AL89" s="13">
        <f t="shared" si="89"/>
        <v>94.463231523218653</v>
      </c>
      <c r="AM89" s="13">
        <f t="shared" si="72"/>
        <v>12.567436363866623</v>
      </c>
      <c r="AN89" s="17">
        <f t="shared" si="107"/>
        <v>135.2896475</v>
      </c>
      <c r="AO89" s="13">
        <f t="shared" si="90"/>
        <v>91.895166997164353</v>
      </c>
      <c r="AP89" s="13">
        <f t="shared" si="73"/>
        <v>10.912464318644425</v>
      </c>
      <c r="AQ89" s="10" t="s">
        <v>238</v>
      </c>
      <c r="AR89" s="10" t="s">
        <v>236</v>
      </c>
      <c r="AS89">
        <v>120.2</v>
      </c>
    </row>
    <row r="90" spans="1:45" ht="13" customHeight="1">
      <c r="A90" s="7" t="s">
        <v>116</v>
      </c>
      <c r="B90" s="7" t="s">
        <v>50</v>
      </c>
      <c r="C90" s="4">
        <v>5.3342765917371997</v>
      </c>
      <c r="D90" s="4">
        <f t="shared" ref="D90:D92" si="108">POWER(10,C90)</f>
        <v>215911.90624999633</v>
      </c>
      <c r="E90" s="13">
        <f t="shared" si="95"/>
        <v>169.49084640624713</v>
      </c>
      <c r="F90" s="13">
        <f t="shared" si="96"/>
        <v>91.99838794391664</v>
      </c>
      <c r="G90" s="13">
        <f t="shared" si="60"/>
        <v>10.96822508441462</v>
      </c>
      <c r="H90" s="4">
        <v>4.9813949039948104</v>
      </c>
      <c r="I90" s="9">
        <f t="shared" ref="I90:I92" si="109">POWER(10,H90)</f>
        <v>95806.484374999942</v>
      </c>
      <c r="J90" s="13">
        <f t="shared" si="97"/>
        <v>75.208090234374964</v>
      </c>
      <c r="K90" s="13">
        <f t="shared" si="98"/>
        <v>81.351740276487348</v>
      </c>
      <c r="L90" s="13">
        <f t="shared" si="61"/>
        <v>7.4394082069907252</v>
      </c>
      <c r="M90" s="3">
        <v>-510</v>
      </c>
      <c r="N90" s="3">
        <v>-485</v>
      </c>
      <c r="O90" s="3">
        <f t="shared" si="101"/>
        <v>25</v>
      </c>
      <c r="P90" s="13">
        <v>7.2999999999999995E-2</v>
      </c>
      <c r="Q90" s="13">
        <f t="shared" si="79"/>
        <v>92.99363057324841</v>
      </c>
      <c r="R90" s="13">
        <f t="shared" si="80"/>
        <v>84.59916489077105</v>
      </c>
      <c r="S90" s="13">
        <f t="shared" si="62"/>
        <v>8.1245548158890415</v>
      </c>
      <c r="T90" s="43">
        <v>25</v>
      </c>
      <c r="U90" s="43">
        <v>145</v>
      </c>
      <c r="V90" s="4">
        <v>38190</v>
      </c>
      <c r="W90" s="4">
        <v>44227</v>
      </c>
      <c r="X90" s="4">
        <v>63213</v>
      </c>
      <c r="Y90" s="4">
        <v>63738</v>
      </c>
      <c r="Z90" s="4">
        <v>164317</v>
      </c>
      <c r="AA90" s="4">
        <v>143584</v>
      </c>
      <c r="AB90" s="4">
        <v>165900</v>
      </c>
      <c r="AC90" s="4">
        <v>183037</v>
      </c>
      <c r="AD90" s="13">
        <f t="shared" si="65"/>
        <v>4.1953462226687126</v>
      </c>
      <c r="AE90" s="13">
        <f t="shared" si="66"/>
        <v>4.4813126820943783</v>
      </c>
      <c r="AF90" s="13">
        <f t="shared" si="67"/>
        <v>5.8968586056360204</v>
      </c>
      <c r="AG90" s="13">
        <f t="shared" si="68"/>
        <v>5.8899883076752735</v>
      </c>
      <c r="AH90" s="13">
        <f t="shared" si="69"/>
        <v>10.326025506746209</v>
      </c>
      <c r="AI90" s="13">
        <f t="shared" si="70"/>
        <v>10.50983173846326</v>
      </c>
      <c r="AJ90" s="13">
        <f t="shared" si="71"/>
        <v>10.820493429661742</v>
      </c>
      <c r="AK90" s="15">
        <f t="shared" si="106"/>
        <v>143.68404500000003</v>
      </c>
      <c r="AL90" s="13">
        <f t="shared" si="89"/>
        <v>92.155138032201151</v>
      </c>
      <c r="AM90" s="13">
        <f t="shared" si="72"/>
        <v>11.054146935239107</v>
      </c>
      <c r="AN90" s="17">
        <f t="shared" si="107"/>
        <v>110.51649484375</v>
      </c>
      <c r="AO90" s="13">
        <f t="shared" si="90"/>
        <v>90.07840411921994</v>
      </c>
      <c r="AP90" s="13">
        <f t="shared" si="73"/>
        <v>10.034089689660487</v>
      </c>
      <c r="AQ90" s="10" t="s">
        <v>242</v>
      </c>
      <c r="AR90" s="10" t="s">
        <v>235</v>
      </c>
      <c r="AS90">
        <v>255.32</v>
      </c>
    </row>
    <row r="91" spans="1:45" ht="14">
      <c r="A91" s="7" t="s">
        <v>116</v>
      </c>
      <c r="B91" s="7" t="s">
        <v>50</v>
      </c>
      <c r="C91" s="4">
        <v>5.1800122847018502</v>
      </c>
      <c r="D91" s="4">
        <f t="shared" si="108"/>
        <v>151360.40624999892</v>
      </c>
      <c r="E91" s="13">
        <f t="shared" si="95"/>
        <v>118.81791890624916</v>
      </c>
      <c r="F91" s="13">
        <f t="shared" si="96"/>
        <v>88.585896702415042</v>
      </c>
      <c r="G91" s="13">
        <f t="shared" si="60"/>
        <v>9.4255820140611277</v>
      </c>
      <c r="H91" s="4">
        <v>5.2025485511485901</v>
      </c>
      <c r="I91" s="9">
        <f t="shared" si="109"/>
        <v>159422.10937499822</v>
      </c>
      <c r="J91" s="13">
        <f t="shared" si="97"/>
        <v>125.14635585937361</v>
      </c>
      <c r="K91" s="13">
        <f t="shared" si="98"/>
        <v>88.793121538624888</v>
      </c>
      <c r="L91" s="13">
        <f t="shared" si="61"/>
        <v>9.6509446785285231</v>
      </c>
      <c r="M91" s="3">
        <v>-522</v>
      </c>
      <c r="N91" s="3">
        <v>-505</v>
      </c>
      <c r="O91" s="3">
        <f t="shared" si="101"/>
        <v>17</v>
      </c>
      <c r="P91" s="13">
        <v>7.1999999999999995E-2</v>
      </c>
      <c r="Q91" s="13">
        <f t="shared" si="79"/>
        <v>91.71974522292993</v>
      </c>
      <c r="R91" s="13">
        <f t="shared" si="80"/>
        <v>84.810135234733096</v>
      </c>
      <c r="S91" s="13">
        <f t="shared" si="62"/>
        <v>8.1844584527809161</v>
      </c>
      <c r="T91" s="43">
        <v>21</v>
      </c>
      <c r="U91" s="43">
        <v>126</v>
      </c>
      <c r="V91" s="4">
        <v>32491</v>
      </c>
      <c r="W91" s="4">
        <v>22524</v>
      </c>
      <c r="X91" s="4">
        <v>18424</v>
      </c>
      <c r="Y91" s="4">
        <v>33578</v>
      </c>
      <c r="Z91" s="4">
        <v>36679</v>
      </c>
      <c r="AA91" s="4">
        <v>128176</v>
      </c>
      <c r="AB91" s="4">
        <v>135708</v>
      </c>
      <c r="AC91" s="4">
        <v>153082</v>
      </c>
      <c r="AD91" s="13">
        <f t="shared" si="65"/>
        <v>3.4934804205289542</v>
      </c>
      <c r="AE91" s="13">
        <f t="shared" si="66"/>
        <v>1.5508930551543463</v>
      </c>
      <c r="AF91" s="13">
        <f t="shared" si="67"/>
        <v>0.54263383698125345</v>
      </c>
      <c r="AG91" s="13">
        <f t="shared" si="68"/>
        <v>3.106552236792214</v>
      </c>
      <c r="AH91" s="13">
        <f t="shared" si="69"/>
        <v>3.8133754018105934</v>
      </c>
      <c r="AI91" s="13">
        <f t="shared" si="70"/>
        <v>10.016838403857731</v>
      </c>
      <c r="AJ91" s="13">
        <f t="shared" si="71"/>
        <v>9.9480840705878268</v>
      </c>
      <c r="AK91" s="15">
        <f t="shared" si="106"/>
        <v>120.16937000000001</v>
      </c>
      <c r="AL91" s="13">
        <f t="shared" si="89"/>
        <v>90.620059837211429</v>
      </c>
      <c r="AM91" s="13">
        <f t="shared" si="72"/>
        <v>10.277999320957356</v>
      </c>
      <c r="AN91" s="17">
        <f t="shared" si="107"/>
        <v>75.824499218750006</v>
      </c>
      <c r="AO91" s="13">
        <f t="shared" si="90"/>
        <v>85.538974720602496</v>
      </c>
      <c r="AP91" s="13">
        <f t="shared" si="73"/>
        <v>8.3979141735001956</v>
      </c>
      <c r="AQ91" s="10" t="s">
        <v>242</v>
      </c>
      <c r="AR91" s="10" t="s">
        <v>235</v>
      </c>
      <c r="AS91">
        <v>255.32</v>
      </c>
    </row>
    <row r="92" spans="1:45" ht="14">
      <c r="A92" s="7" t="s">
        <v>116</v>
      </c>
      <c r="B92" s="7" t="s">
        <v>50</v>
      </c>
      <c r="C92" s="4">
        <v>4.9603841433772597</v>
      </c>
      <c r="D92" s="4">
        <f t="shared" si="108"/>
        <v>91281.78906249936</v>
      </c>
      <c r="E92" s="13">
        <f t="shared" si="95"/>
        <v>71.656204414062003</v>
      </c>
      <c r="F92" s="13">
        <f t="shared" si="96"/>
        <v>81.073516088526503</v>
      </c>
      <c r="G92" s="13">
        <f t="shared" si="60"/>
        <v>7.2293006008152183</v>
      </c>
      <c r="H92" s="4">
        <v>5.00673939592554</v>
      </c>
      <c r="I92" s="9">
        <f t="shared" si="109"/>
        <v>101563.90624999804</v>
      </c>
      <c r="J92" s="13">
        <f t="shared" si="97"/>
        <v>79.72766640624846</v>
      </c>
      <c r="K92" s="13">
        <f t="shared" si="98"/>
        <v>82.408866793446208</v>
      </c>
      <c r="L92" s="13">
        <f t="shared" si="61"/>
        <v>7.6928531262980249</v>
      </c>
      <c r="M92" s="3">
        <v>-514</v>
      </c>
      <c r="N92" s="3">
        <v>-493</v>
      </c>
      <c r="O92" s="3">
        <f t="shared" si="101"/>
        <v>21</v>
      </c>
      <c r="P92" s="13">
        <v>7.1999999999999995E-2</v>
      </c>
      <c r="Q92" s="13">
        <f t="shared" si="79"/>
        <v>91.71974522292993</v>
      </c>
      <c r="R92" s="13">
        <f t="shared" si="80"/>
        <v>84.810135234733096</v>
      </c>
      <c r="S92" s="13">
        <f t="shared" si="62"/>
        <v>8.1844584527809161</v>
      </c>
      <c r="T92" s="43">
        <v>26</v>
      </c>
      <c r="U92" s="43">
        <v>148</v>
      </c>
      <c r="V92" s="4">
        <v>23685</v>
      </c>
      <c r="W92" s="4">
        <v>31222</v>
      </c>
      <c r="X92" s="4">
        <v>30874</v>
      </c>
      <c r="Y92" s="4">
        <v>40744</v>
      </c>
      <c r="Z92" s="4">
        <v>106025</v>
      </c>
      <c r="AA92" s="4">
        <v>134462</v>
      </c>
      <c r="AB92" s="4">
        <v>140605</v>
      </c>
      <c r="AC92" s="4">
        <v>193783</v>
      </c>
      <c r="AD92" s="13">
        <f t="shared" si="65"/>
        <v>2.1205835295752893</v>
      </c>
      <c r="AE92" s="13">
        <f t="shared" si="66"/>
        <v>2.969045062372901</v>
      </c>
      <c r="AF92" s="13">
        <f t="shared" si="67"/>
        <v>2.7847235856383752</v>
      </c>
      <c r="AG92" s="13">
        <f t="shared" si="68"/>
        <v>3.9466406207423192</v>
      </c>
      <c r="AH92" s="13">
        <f t="shared" si="69"/>
        <v>8.4232833456569693</v>
      </c>
      <c r="AI92" s="13">
        <f t="shared" si="70"/>
        <v>10.224766926956594</v>
      </c>
      <c r="AJ92" s="13">
        <f t="shared" si="71"/>
        <v>10.102037216782474</v>
      </c>
      <c r="AK92" s="15">
        <f t="shared" si="106"/>
        <v>152.11965499999999</v>
      </c>
      <c r="AL92" s="13">
        <f t="shared" si="89"/>
        <v>92.59016528797676</v>
      </c>
      <c r="AM92" s="13">
        <f t="shared" si="72"/>
        <v>11.301914795317174</v>
      </c>
      <c r="AN92" s="17">
        <f t="shared" si="107"/>
        <v>93.237172968750002</v>
      </c>
      <c r="AO92" s="13">
        <f t="shared" si="90"/>
        <v>88.23966916749491</v>
      </c>
      <c r="AP92" s="13">
        <f t="shared" si="73"/>
        <v>9.2957096351234405</v>
      </c>
      <c r="AQ92" s="10" t="s">
        <v>242</v>
      </c>
      <c r="AR92" s="10" t="s">
        <v>235</v>
      </c>
      <c r="AS92">
        <v>255.32</v>
      </c>
    </row>
    <row r="93" spans="1:45" ht="13" customHeight="1">
      <c r="A93" s="24" t="s">
        <v>195</v>
      </c>
      <c r="B93" s="7" t="s">
        <v>51</v>
      </c>
      <c r="C93" s="4">
        <v>4.6113832601765896</v>
      </c>
      <c r="D93" s="4">
        <f t="shared" ref="D93:D95" si="110">POWER(10,C93)</f>
        <v>40867.988281249163</v>
      </c>
      <c r="E93" s="13">
        <f t="shared" si="95"/>
        <v>32.081370800780597</v>
      </c>
      <c r="F93" s="13">
        <f t="shared" si="96"/>
        <v>57.72624528977417</v>
      </c>
      <c r="G93" s="13">
        <f t="shared" si="60"/>
        <v>3.7392917688085161</v>
      </c>
      <c r="H93" s="4">
        <v>4.8188194045599504</v>
      </c>
      <c r="I93" s="9">
        <f t="shared" ref="I93:I95" si="111">POWER(10,H93)</f>
        <v>65889.984375000116</v>
      </c>
      <c r="J93" s="13">
        <f t="shared" si="97"/>
        <v>51.723637734375096</v>
      </c>
      <c r="K93" s="13">
        <f t="shared" si="98"/>
        <v>72.884737782704121</v>
      </c>
      <c r="L93" s="13">
        <f t="shared" si="61"/>
        <v>5.8136532126421239</v>
      </c>
      <c r="M93" s="3">
        <v>-543</v>
      </c>
      <c r="N93" s="3">
        <v>-486</v>
      </c>
      <c r="O93" s="3">
        <f t="shared" si="101"/>
        <v>57</v>
      </c>
      <c r="P93" s="13">
        <v>0.495</v>
      </c>
      <c r="Q93" s="13">
        <f t="shared" si="79"/>
        <v>630.57324840764329</v>
      </c>
      <c r="R93" s="13">
        <f t="shared" si="80"/>
        <v>-4.4303202612099746</v>
      </c>
      <c r="S93" s="13">
        <f t="shared" si="62"/>
        <v>-0.18826857224208657</v>
      </c>
      <c r="T93" s="43">
        <v>109</v>
      </c>
      <c r="U93" s="43">
        <v>115</v>
      </c>
      <c r="V93" s="4">
        <v>78710</v>
      </c>
      <c r="W93" s="4">
        <v>48890</v>
      </c>
      <c r="X93" s="4">
        <v>31240</v>
      </c>
      <c r="Y93" s="4">
        <v>17610</v>
      </c>
      <c r="Z93" s="4">
        <v>35380</v>
      </c>
      <c r="AA93" s="4">
        <v>11610</v>
      </c>
      <c r="AB93" s="4">
        <v>13310</v>
      </c>
      <c r="AC93" s="4">
        <v>19670</v>
      </c>
      <c r="AD93" s="13">
        <f t="shared" si="65"/>
        <v>7.336148762897805</v>
      </c>
      <c r="AE93" s="13">
        <f t="shared" si="66"/>
        <v>4.9166382411029907</v>
      </c>
      <c r="AF93" s="13">
        <f t="shared" si="67"/>
        <v>2.8359048394721338</v>
      </c>
      <c r="AG93" s="13">
        <f t="shared" si="68"/>
        <v>0.30359754873387051</v>
      </c>
      <c r="AH93" s="13">
        <f t="shared" si="69"/>
        <v>3.6567788200765419</v>
      </c>
      <c r="AI93" s="13">
        <f t="shared" si="70"/>
        <v>-0.41290654268080385</v>
      </c>
      <c r="AJ93" s="13">
        <f t="shared" si="71"/>
        <v>-0.13618987583511388</v>
      </c>
      <c r="AK93" s="15">
        <f t="shared" si="106"/>
        <v>15.440950000000001</v>
      </c>
      <c r="AL93" s="13">
        <f t="shared" si="89"/>
        <v>27.00050838840875</v>
      </c>
      <c r="AM93" s="13">
        <f t="shared" si="72"/>
        <v>1.366801644144674</v>
      </c>
      <c r="AN93" s="17">
        <f t="shared" si="107"/>
        <v>16.044909375</v>
      </c>
      <c r="AO93" s="13">
        <f t="shared" si="90"/>
        <v>31.660567574879185</v>
      </c>
      <c r="AP93" s="13">
        <f t="shared" si="73"/>
        <v>1.6531913509876317</v>
      </c>
      <c r="AQ93" s="10" t="s">
        <v>241</v>
      </c>
      <c r="AR93" s="10" t="s">
        <v>235</v>
      </c>
      <c r="AS93">
        <v>154.19</v>
      </c>
    </row>
    <row r="94" spans="1:45" ht="14">
      <c r="A94" s="24" t="s">
        <v>195</v>
      </c>
      <c r="B94" s="7" t="s">
        <v>51</v>
      </c>
      <c r="C94" s="4">
        <v>4.51048853631423</v>
      </c>
      <c r="D94" s="4">
        <f t="shared" si="110"/>
        <v>32395.787109374683</v>
      </c>
      <c r="E94" s="13">
        <f t="shared" si="95"/>
        <v>25.43069288085913</v>
      </c>
      <c r="F94" s="13">
        <f t="shared" si="96"/>
        <v>46.670741282839032</v>
      </c>
      <c r="G94" s="13">
        <f t="shared" si="60"/>
        <v>2.7303445301849183</v>
      </c>
      <c r="H94" s="4">
        <v>4.6786368663159603</v>
      </c>
      <c r="I94" s="9">
        <f t="shared" si="111"/>
        <v>47713.015624999476</v>
      </c>
      <c r="J94" s="13">
        <f t="shared" si="97"/>
        <v>37.454717265624588</v>
      </c>
      <c r="K94" s="13">
        <f t="shared" si="98"/>
        <v>62.554783418771265</v>
      </c>
      <c r="L94" s="13">
        <f t="shared" si="61"/>
        <v>4.4118278302022231</v>
      </c>
      <c r="M94" s="3">
        <v>-497</v>
      </c>
      <c r="N94" s="3">
        <v>-491</v>
      </c>
      <c r="O94" s="3">
        <f t="shared" si="101"/>
        <v>6</v>
      </c>
      <c r="P94" s="13">
        <v>0.91500000000000004</v>
      </c>
      <c r="Q94" s="13">
        <f t="shared" si="79"/>
        <v>1165.6050955414012</v>
      </c>
      <c r="R94" s="13">
        <f t="shared" si="80"/>
        <v>-93.037864725266914</v>
      </c>
      <c r="S94" s="13">
        <f t="shared" si="62"/>
        <v>-2.8564275235708818</v>
      </c>
      <c r="T94" s="43">
        <v>24</v>
      </c>
      <c r="U94" s="43">
        <v>162</v>
      </c>
      <c r="V94" s="4">
        <v>41560</v>
      </c>
      <c r="W94" s="4">
        <v>50710</v>
      </c>
      <c r="X94" s="4">
        <v>37840</v>
      </c>
      <c r="Y94" s="4">
        <v>19474</v>
      </c>
      <c r="Z94" s="4">
        <v>21650</v>
      </c>
      <c r="AA94" s="4">
        <v>10270</v>
      </c>
      <c r="AB94" s="4">
        <v>14410</v>
      </c>
      <c r="AC94" s="4">
        <v>13020</v>
      </c>
      <c r="AD94" s="13">
        <f t="shared" si="65"/>
        <v>4.5626050277869323</v>
      </c>
      <c r="AE94" s="13">
        <f t="shared" si="66"/>
        <v>5.0753739739433668</v>
      </c>
      <c r="AF94" s="13">
        <f t="shared" si="67"/>
        <v>3.6683058647170581</v>
      </c>
      <c r="AG94" s="13">
        <f t="shared" si="68"/>
        <v>0.74055564576394595</v>
      </c>
      <c r="AH94" s="13">
        <f t="shared" si="69"/>
        <v>1.5237795412333408</v>
      </c>
      <c r="AI94" s="13">
        <f t="shared" si="70"/>
        <v>-0.9455243040937602</v>
      </c>
      <c r="AJ94" s="13">
        <f t="shared" si="71"/>
        <v>0.20866937755802789</v>
      </c>
      <c r="AK94" s="15">
        <f t="shared" si="106"/>
        <v>10.220700000000001</v>
      </c>
      <c r="AL94" s="13">
        <f t="shared" si="89"/>
        <v>-10.284178187403992</v>
      </c>
      <c r="AM94" s="13">
        <f t="shared" si="72"/>
        <v>-0.42513211272696139</v>
      </c>
      <c r="AN94" s="17">
        <f t="shared" si="107"/>
        <v>13.403073645833333</v>
      </c>
      <c r="AO94" s="13">
        <f t="shared" si="90"/>
        <v>18.190406993632134</v>
      </c>
      <c r="AP94" s="13">
        <f t="shared" si="73"/>
        <v>0.87186270559923695</v>
      </c>
      <c r="AQ94" s="10" t="s">
        <v>241</v>
      </c>
      <c r="AR94" s="10" t="s">
        <v>235</v>
      </c>
      <c r="AS94">
        <v>154.19</v>
      </c>
    </row>
    <row r="95" spans="1:45" ht="14">
      <c r="A95" s="24" t="s">
        <v>195</v>
      </c>
      <c r="B95" s="7" t="s">
        <v>51</v>
      </c>
      <c r="C95" s="4">
        <v>4.5457383162097997</v>
      </c>
      <c r="D95" s="4">
        <f t="shared" si="110"/>
        <v>35134.867187500058</v>
      </c>
      <c r="E95" s="13">
        <f t="shared" si="95"/>
        <v>27.58087074218755</v>
      </c>
      <c r="F95" s="13">
        <f t="shared" si="96"/>
        <v>50.828238431009218</v>
      </c>
      <c r="G95" s="13">
        <f t="shared" si="60"/>
        <v>3.0828423291406217</v>
      </c>
      <c r="H95" s="4">
        <v>4.6978024574427399</v>
      </c>
      <c r="I95" s="9">
        <f t="shared" si="111"/>
        <v>49865.761718749003</v>
      </c>
      <c r="J95" s="13">
        <f t="shared" si="97"/>
        <v>39.144622949217968</v>
      </c>
      <c r="K95" s="13">
        <f t="shared" si="98"/>
        <v>64.171324326729291</v>
      </c>
      <c r="L95" s="13">
        <f t="shared" si="61"/>
        <v>4.6034837414700229</v>
      </c>
      <c r="M95" s="3">
        <v>-508</v>
      </c>
      <c r="N95" s="3">
        <v>-492</v>
      </c>
      <c r="O95" s="3">
        <f t="shared" si="101"/>
        <v>16</v>
      </c>
      <c r="P95" s="13">
        <v>0.78500000000000003</v>
      </c>
      <c r="Q95" s="13">
        <f t="shared" si="79"/>
        <v>1000</v>
      </c>
      <c r="R95" s="13">
        <f t="shared" si="80"/>
        <v>-65.61172001020168</v>
      </c>
      <c r="S95" s="13">
        <f t="shared" si="62"/>
        <v>-2.1909131503589245</v>
      </c>
      <c r="T95" s="43">
        <v>25</v>
      </c>
      <c r="U95" s="43">
        <v>200</v>
      </c>
      <c r="V95" s="4">
        <v>29254</v>
      </c>
      <c r="W95" s="4">
        <v>20851</v>
      </c>
      <c r="X95" s="4">
        <v>23459</v>
      </c>
      <c r="Y95" s="4">
        <v>38160</v>
      </c>
      <c r="Z95" s="4">
        <v>21770</v>
      </c>
      <c r="AA95" s="4">
        <v>10020</v>
      </c>
      <c r="AB95" s="4">
        <v>15680</v>
      </c>
      <c r="AC95" s="4">
        <v>17530</v>
      </c>
      <c r="AD95" s="13">
        <f t="shared" si="65"/>
        <v>3.0377022094960031</v>
      </c>
      <c r="AE95" s="13">
        <f t="shared" si="66"/>
        <v>1.215706751283022</v>
      </c>
      <c r="AF95" s="13">
        <f t="shared" si="67"/>
        <v>1.5918895400064992</v>
      </c>
      <c r="AG95" s="13">
        <f t="shared" si="68"/>
        <v>3.662087649381677</v>
      </c>
      <c r="AH95" s="13">
        <f t="shared" si="69"/>
        <v>1.5477848247504413</v>
      </c>
      <c r="AI95" s="13">
        <f t="shared" si="70"/>
        <v>-1.0525515247542729</v>
      </c>
      <c r="AJ95" s="13">
        <f t="shared" si="71"/>
        <v>0.57549015290233108</v>
      </c>
      <c r="AK95" s="15">
        <f t="shared" si="106"/>
        <v>13.761050000000001</v>
      </c>
      <c r="AL95" s="13">
        <f t="shared" si="89"/>
        <v>18.088990302338846</v>
      </c>
      <c r="AM95" s="13">
        <f t="shared" si="72"/>
        <v>0.86657720588925613</v>
      </c>
      <c r="AN95" s="17">
        <f t="shared" si="107"/>
        <v>13.98234640625</v>
      </c>
      <c r="AO95" s="13">
        <f t="shared" si="90"/>
        <v>21.579685687813242</v>
      </c>
      <c r="AP95" s="13">
        <f t="shared" si="73"/>
        <v>1.0556192402010041</v>
      </c>
      <c r="AQ95" s="10" t="s">
        <v>241</v>
      </c>
      <c r="AR95" s="10" t="s">
        <v>235</v>
      </c>
      <c r="AS95">
        <v>154.19</v>
      </c>
    </row>
    <row r="96" spans="1:45" ht="13" customHeight="1">
      <c r="A96" s="24" t="s">
        <v>196</v>
      </c>
      <c r="B96" s="7" t="s">
        <v>52</v>
      </c>
      <c r="C96" s="4">
        <v>4.3649850069459699</v>
      </c>
      <c r="D96" s="4">
        <f t="shared" ref="D96:D98" si="112">POWER(10,C96)</f>
        <v>23173.146484374745</v>
      </c>
      <c r="E96" s="13">
        <f t="shared" si="95"/>
        <v>18.190919990234175</v>
      </c>
      <c r="F96" s="13">
        <f t="shared" si="96"/>
        <v>25.446321531397086</v>
      </c>
      <c r="G96" s="13">
        <f t="shared" si="60"/>
        <v>1.2753092365023175</v>
      </c>
      <c r="H96" s="4">
        <v>4.2932114439502902</v>
      </c>
      <c r="I96" s="9">
        <f t="shared" ref="I96:I98" si="113">POWER(10,H96)</f>
        <v>19643.164062500018</v>
      </c>
      <c r="J96" s="13">
        <f t="shared" si="97"/>
        <v>15.419883789062515</v>
      </c>
      <c r="K96" s="13">
        <f t="shared" si="98"/>
        <v>9.0460071433996152</v>
      </c>
      <c r="L96" s="13">
        <f t="shared" si="61"/>
        <v>0.55757360654552701</v>
      </c>
      <c r="M96" s="3">
        <v>-556</v>
      </c>
      <c r="N96" s="3">
        <v>-491</v>
      </c>
      <c r="O96" s="3">
        <f t="shared" si="101"/>
        <v>65</v>
      </c>
      <c r="P96" s="13">
        <v>0.42499999999999999</v>
      </c>
      <c r="Q96" s="13">
        <f t="shared" si="79"/>
        <v>541.40127388535029</v>
      </c>
      <c r="R96" s="13">
        <f t="shared" si="80"/>
        <v>10.337603816132857</v>
      </c>
      <c r="S96" s="13">
        <f t="shared" si="62"/>
        <v>0.47389411659048553</v>
      </c>
      <c r="T96" s="43">
        <v>105</v>
      </c>
      <c r="U96" s="43">
        <v>98</v>
      </c>
      <c r="V96" s="4">
        <v>5238</v>
      </c>
      <c r="W96" s="4">
        <v>9395</v>
      </c>
      <c r="X96" s="4">
        <v>18705</v>
      </c>
      <c r="Y96" s="4">
        <v>15250</v>
      </c>
      <c r="Z96" s="4">
        <v>22874</v>
      </c>
      <c r="AA96" s="4">
        <v>23712</v>
      </c>
      <c r="AB96" s="4">
        <v>27286</v>
      </c>
      <c r="AC96" s="4">
        <v>23541</v>
      </c>
      <c r="AD96" s="13">
        <f t="shared" si="65"/>
        <v>-4.4324954201723319</v>
      </c>
      <c r="AE96" s="13">
        <f t="shared" si="66"/>
        <v>-2.2465942871699212</v>
      </c>
      <c r="AF96" s="13">
        <f t="shared" si="67"/>
        <v>0.60837171276174506</v>
      </c>
      <c r="AG96" s="13">
        <f t="shared" si="68"/>
        <v>-0.32129757411085175</v>
      </c>
      <c r="AH96" s="13">
        <f t="shared" si="69"/>
        <v>1.7626217020631745</v>
      </c>
      <c r="AI96" s="13">
        <f t="shared" si="70"/>
        <v>2.6884531229257997</v>
      </c>
      <c r="AJ96" s="13">
        <f t="shared" si="71"/>
        <v>2.9814283173767295</v>
      </c>
      <c r="AK96" s="15">
        <f t="shared" si="106"/>
        <v>18.479685</v>
      </c>
      <c r="AL96" s="13">
        <f t="shared" si="89"/>
        <v>39.004290386984408</v>
      </c>
      <c r="AM96" s="13">
        <f t="shared" si="72"/>
        <v>2.1470071182402308</v>
      </c>
      <c r="AN96" s="17">
        <f t="shared" si="107"/>
        <v>17.567801197916666</v>
      </c>
      <c r="AO96" s="13">
        <f t="shared" si="90"/>
        <v>37.584676212636559</v>
      </c>
      <c r="AP96" s="13">
        <f t="shared" si="73"/>
        <v>2.0469927484794757</v>
      </c>
      <c r="AQ96" s="10" t="s">
        <v>241</v>
      </c>
      <c r="AR96" s="10" t="s">
        <v>235</v>
      </c>
      <c r="AS96">
        <v>306.36</v>
      </c>
    </row>
    <row r="97" spans="1:45" ht="14">
      <c r="A97" s="24" t="s">
        <v>196</v>
      </c>
      <c r="B97" s="7" t="s">
        <v>52</v>
      </c>
      <c r="C97" s="4">
        <v>4.4035690809770101</v>
      </c>
      <c r="D97" s="4">
        <f t="shared" si="112"/>
        <v>25326.144531249633</v>
      </c>
      <c r="E97" s="13">
        <f t="shared" si="95"/>
        <v>19.881023457030963</v>
      </c>
      <c r="F97" s="13">
        <f t="shared" si="96"/>
        <v>31.78419597305102</v>
      </c>
      <c r="G97" s="13">
        <f t="shared" si="60"/>
        <v>1.661149976812724</v>
      </c>
      <c r="H97" s="4">
        <v>4.2631496927138901</v>
      </c>
      <c r="I97" s="9">
        <f t="shared" si="113"/>
        <v>18329.460937499694</v>
      </c>
      <c r="J97" s="13">
        <f t="shared" si="97"/>
        <v>14.388626835937261</v>
      </c>
      <c r="K97" s="13">
        <f t="shared" si="98"/>
        <v>2.5271823370181523</v>
      </c>
      <c r="L97" s="13">
        <f t="shared" si="61"/>
        <v>0.25695609418152215</v>
      </c>
      <c r="M97" s="3">
        <v>-538</v>
      </c>
      <c r="N97" s="3">
        <v>-509</v>
      </c>
      <c r="O97" s="3">
        <f t="shared" si="101"/>
        <v>29</v>
      </c>
      <c r="P97" s="13">
        <v>0.52300000000000002</v>
      </c>
      <c r="Q97" s="13">
        <f t="shared" si="79"/>
        <v>666.24203821656045</v>
      </c>
      <c r="R97" s="13">
        <f t="shared" si="80"/>
        <v>-10.33748989214709</v>
      </c>
      <c r="S97" s="13">
        <f t="shared" si="62"/>
        <v>-0.42723347157914121</v>
      </c>
      <c r="T97" s="43">
        <v>74</v>
      </c>
      <c r="U97" s="43">
        <v>178</v>
      </c>
      <c r="V97" s="4">
        <v>14450</v>
      </c>
      <c r="W97" s="4">
        <v>11084</v>
      </c>
      <c r="X97" s="4">
        <v>17000</v>
      </c>
      <c r="Y97" s="4">
        <v>19742</v>
      </c>
      <c r="Z97" s="4">
        <v>19848</v>
      </c>
      <c r="AA97" s="4">
        <v>22274</v>
      </c>
      <c r="AB97" s="4">
        <v>22346</v>
      </c>
      <c r="AC97" s="4">
        <v>20838</v>
      </c>
      <c r="AD97" s="13">
        <f t="shared" si="65"/>
        <v>-2.5471890138799316E-2</v>
      </c>
      <c r="AE97" s="13">
        <f t="shared" si="66"/>
        <v>-1.5285969604334237</v>
      </c>
      <c r="AF97" s="13">
        <f t="shared" si="67"/>
        <v>0.19328380120224586</v>
      </c>
      <c r="AG97" s="13">
        <f t="shared" si="68"/>
        <v>0.79991546478092379</v>
      </c>
      <c r="AH97" s="13">
        <f t="shared" si="69"/>
        <v>1.1463680469810251</v>
      </c>
      <c r="AI97" s="13">
        <f t="shared" si="70"/>
        <v>2.4167534131816537</v>
      </c>
      <c r="AJ97" s="13">
        <f t="shared" si="71"/>
        <v>2.1140275137181233</v>
      </c>
      <c r="AK97" s="15">
        <f t="shared" si="106"/>
        <v>16.35783</v>
      </c>
      <c r="AL97" s="13">
        <f t="shared" si="89"/>
        <v>31.092235339284002</v>
      </c>
      <c r="AM97" s="13">
        <f t="shared" si="72"/>
        <v>1.6173183818953665</v>
      </c>
      <c r="AN97" s="17">
        <f t="shared" si="107"/>
        <v>15.960341979166667</v>
      </c>
      <c r="AO97" s="13">
        <f t="shared" si="90"/>
        <v>31.298464567282956</v>
      </c>
      <c r="AP97" s="13">
        <f t="shared" si="73"/>
        <v>1.6302405930470798</v>
      </c>
      <c r="AQ97" s="10" t="s">
        <v>241</v>
      </c>
      <c r="AR97" s="10" t="s">
        <v>235</v>
      </c>
      <c r="AS97">
        <v>306.36</v>
      </c>
    </row>
    <row r="98" spans="1:45" ht="14">
      <c r="A98" s="24" t="s">
        <v>196</v>
      </c>
      <c r="B98" s="7" t="s">
        <v>52</v>
      </c>
      <c r="C98" s="4">
        <v>4.4500485244590502</v>
      </c>
      <c r="D98" s="4">
        <f t="shared" si="112"/>
        <v>28186.978515624596</v>
      </c>
      <c r="E98" s="13">
        <f t="shared" si="95"/>
        <v>22.126778134765306</v>
      </c>
      <c r="F98" s="13">
        <f t="shared" si="96"/>
        <v>38.707750774200775</v>
      </c>
      <c r="G98" s="13">
        <f t="shared" si="60"/>
        <v>2.1259444116331232</v>
      </c>
      <c r="H98" s="4">
        <v>4.3047379422628103</v>
      </c>
      <c r="I98" s="9">
        <f t="shared" si="113"/>
        <v>20171.488281249993</v>
      </c>
      <c r="J98" s="13">
        <f t="shared" si="97"/>
        <v>15.834618300781246</v>
      </c>
      <c r="K98" s="13">
        <f t="shared" si="98"/>
        <v>11.428240746996487</v>
      </c>
      <c r="L98" s="13">
        <f t="shared" si="61"/>
        <v>0.67283858967072185</v>
      </c>
      <c r="M98" s="3">
        <v>-535</v>
      </c>
      <c r="N98" s="3">
        <v>-490</v>
      </c>
      <c r="O98" s="3">
        <f t="shared" si="101"/>
        <v>45</v>
      </c>
      <c r="P98" s="13">
        <v>0.46400000000000002</v>
      </c>
      <c r="Q98" s="13">
        <f t="shared" ref="Q98:Q129" si="114">1000*P98/(0.785)</f>
        <v>591.08280254777071</v>
      </c>
      <c r="R98" s="13">
        <f t="shared" ref="R98:R129" si="115">(1-Q98/603.822)*100</f>
        <v>2.1097604016132698</v>
      </c>
      <c r="S98" s="13">
        <f t="shared" si="62"/>
        <v>9.260361154479145E-2</v>
      </c>
      <c r="T98" s="43">
        <v>63</v>
      </c>
      <c r="U98" s="43">
        <v>110</v>
      </c>
      <c r="V98" s="4">
        <v>7554</v>
      </c>
      <c r="W98" s="4">
        <v>15635</v>
      </c>
      <c r="X98" s="4">
        <v>19626</v>
      </c>
      <c r="Y98" s="4">
        <v>20539</v>
      </c>
      <c r="Z98" s="4">
        <v>25084</v>
      </c>
      <c r="AA98" s="4">
        <v>24203</v>
      </c>
      <c r="AB98" s="4">
        <v>28372</v>
      </c>
      <c r="AC98" s="4">
        <v>27392</v>
      </c>
      <c r="AD98" s="13">
        <f t="shared" si="65"/>
        <v>-2.8423805561494033</v>
      </c>
      <c r="AE98" s="13">
        <f t="shared" si="66"/>
        <v>-3.4583275745844612E-2</v>
      </c>
      <c r="AF98" s="13">
        <f t="shared" si="67"/>
        <v>0.81711253250575888</v>
      </c>
      <c r="AG98" s="13">
        <f t="shared" si="68"/>
        <v>0.9717969381224949</v>
      </c>
      <c r="AH98" s="13">
        <f t="shared" si="69"/>
        <v>2.1631684553726203</v>
      </c>
      <c r="AI98" s="13">
        <f t="shared" si="70"/>
        <v>2.7774632679589049</v>
      </c>
      <c r="AJ98" s="13">
        <f t="shared" si="71"/>
        <v>3.1509290811830675</v>
      </c>
      <c r="AK98" s="15">
        <f t="shared" si="106"/>
        <v>21.50272</v>
      </c>
      <c r="AL98" s="13">
        <f t="shared" si="89"/>
        <v>47.579585280373827</v>
      </c>
      <c r="AM98" s="13">
        <f t="shared" si="72"/>
        <v>2.8049954749218986</v>
      </c>
      <c r="AN98" s="17">
        <f t="shared" si="107"/>
        <v>19.128577447916665</v>
      </c>
      <c r="AO98" s="13">
        <f t="shared" si="90"/>
        <v>42.677389210695218</v>
      </c>
      <c r="AP98" s="13">
        <f t="shared" si="73"/>
        <v>2.4166454030702749</v>
      </c>
      <c r="AQ98" s="10" t="s">
        <v>241</v>
      </c>
      <c r="AR98" s="10" t="s">
        <v>235</v>
      </c>
      <c r="AS98">
        <v>306.36</v>
      </c>
    </row>
    <row r="99" spans="1:45" ht="13" customHeight="1">
      <c r="A99" s="7" t="s">
        <v>119</v>
      </c>
      <c r="B99" s="7" t="s">
        <v>53</v>
      </c>
      <c r="C99" s="4">
        <v>4.3451452798686798</v>
      </c>
      <c r="D99" s="4">
        <f t="shared" ref="D99:D101" si="116">POWER(10,C99)</f>
        <v>22138.351562499869</v>
      </c>
      <c r="E99" s="13">
        <f t="shared" ref="E99:E133" si="117">D99*0.785/1000</f>
        <v>17.378605976562397</v>
      </c>
      <c r="F99" s="13">
        <f t="shared" ref="F99:F133" si="118">(1-13.562/E99)*100</f>
        <v>21.961519708253075</v>
      </c>
      <c r="G99" s="13">
        <f t="shared" si="60"/>
        <v>1.0769119657294173</v>
      </c>
      <c r="H99" s="4">
        <v>4.3009603502812004</v>
      </c>
      <c r="I99" s="9">
        <f t="shared" ref="I99:I101" si="119">POWER(10,H99)</f>
        <v>19996.792968749996</v>
      </c>
      <c r="J99" s="13">
        <f t="shared" si="97"/>
        <v>15.697482480468747</v>
      </c>
      <c r="K99" s="13">
        <f t="shared" si="98"/>
        <v>10.654463112474854</v>
      </c>
      <c r="L99" s="13">
        <f t="shared" si="61"/>
        <v>0.63506266985462334</v>
      </c>
      <c r="M99" s="3">
        <v>-504</v>
      </c>
      <c r="N99" s="3">
        <v>-492</v>
      </c>
      <c r="O99" s="3">
        <f t="shared" si="101"/>
        <v>12</v>
      </c>
      <c r="P99" s="13">
        <v>1.34</v>
      </c>
      <c r="Q99" s="13">
        <f t="shared" si="114"/>
        <v>1707.0063694267515</v>
      </c>
      <c r="R99" s="13">
        <f t="shared" si="115"/>
        <v>-182.70026090913407</v>
      </c>
      <c r="S99" s="13">
        <f t="shared" si="62"/>
        <v>-4.5132645665544748</v>
      </c>
      <c r="T99" s="43">
        <v>24</v>
      </c>
      <c r="U99" s="43">
        <v>293</v>
      </c>
      <c r="V99" s="11">
        <v>6630</v>
      </c>
      <c r="W99" s="4">
        <v>12820</v>
      </c>
      <c r="X99" s="4">
        <v>18750</v>
      </c>
      <c r="Y99" s="4">
        <v>34795</v>
      </c>
      <c r="Z99" s="4">
        <v>28475</v>
      </c>
      <c r="AA99" s="4">
        <v>25367</v>
      </c>
      <c r="AB99" s="4">
        <v>20680</v>
      </c>
      <c r="AC99" s="4">
        <v>20676</v>
      </c>
      <c r="AD99" s="13">
        <f t="shared" si="65"/>
        <v>-3.4090150770167345</v>
      </c>
      <c r="AE99" s="13">
        <f t="shared" si="66"/>
        <v>-0.89668187970737889</v>
      </c>
      <c r="AF99" s="13">
        <f t="shared" si="67"/>
        <v>0.61880730805688311</v>
      </c>
      <c r="AG99" s="13">
        <f t="shared" si="68"/>
        <v>3.2611723973714395</v>
      </c>
      <c r="AH99" s="13">
        <f t="shared" si="69"/>
        <v>2.7138378618508781</v>
      </c>
      <c r="AI99" s="13">
        <f t="shared" si="70"/>
        <v>2.9814623489876979</v>
      </c>
      <c r="AJ99" s="13">
        <f t="shared" si="71"/>
        <v>1.7775349136371839</v>
      </c>
      <c r="AK99" s="15">
        <f t="shared" si="106"/>
        <v>16.23066</v>
      </c>
      <c r="AL99" s="13">
        <f t="shared" si="89"/>
        <v>30.552331205262139</v>
      </c>
      <c r="AM99" s="13">
        <f t="shared" si="72"/>
        <v>1.5834232799078396</v>
      </c>
      <c r="AN99" s="17">
        <f t="shared" si="107"/>
        <v>18.514879166666667</v>
      </c>
      <c r="AO99" s="13">
        <f t="shared" si="90"/>
        <v>40.777361270923777</v>
      </c>
      <c r="AP99" s="13">
        <f t="shared" si="73"/>
        <v>2.2750274871247194</v>
      </c>
      <c r="AQ99" s="10" t="s">
        <v>239</v>
      </c>
      <c r="AR99" s="10" t="s">
        <v>235</v>
      </c>
      <c r="AS99">
        <v>173.17</v>
      </c>
    </row>
    <row r="100" spans="1:45" ht="14">
      <c r="A100" s="7" t="s">
        <v>119</v>
      </c>
      <c r="B100" s="7" t="s">
        <v>53</v>
      </c>
      <c r="C100" s="4">
        <v>4.2705341351449304</v>
      </c>
      <c r="D100" s="4">
        <f t="shared" si="116"/>
        <v>18643.787109374993</v>
      </c>
      <c r="E100" s="13">
        <f t="shared" si="117"/>
        <v>14.63537288085937</v>
      </c>
      <c r="F100" s="13">
        <f t="shared" si="118"/>
        <v>7.3340999890967096</v>
      </c>
      <c r="G100" s="13">
        <f t="shared" si="60"/>
        <v>0.33080051849192671</v>
      </c>
      <c r="H100" s="4">
        <v>4.3639952040160397</v>
      </c>
      <c r="I100" s="9">
        <f t="shared" si="119"/>
        <v>23120.392578124542</v>
      </c>
      <c r="J100" s="13">
        <f t="shared" si="97"/>
        <v>18.149508173827765</v>
      </c>
      <c r="K100" s="13">
        <f t="shared" si="98"/>
        <v>22.725178744928488</v>
      </c>
      <c r="L100" s="13">
        <f t="shared" si="61"/>
        <v>1.2654112072030166</v>
      </c>
      <c r="M100" s="3">
        <v>-513</v>
      </c>
      <c r="N100" s="3">
        <v>-487</v>
      </c>
      <c r="O100" s="3">
        <f t="shared" si="101"/>
        <v>26</v>
      </c>
      <c r="P100" s="13">
        <v>0.96499999999999997</v>
      </c>
      <c r="Q100" s="13">
        <f t="shared" si="114"/>
        <v>1229.2993630573249</v>
      </c>
      <c r="R100" s="13">
        <f t="shared" si="115"/>
        <v>-103.58638192336893</v>
      </c>
      <c r="S100" s="13">
        <f t="shared" si="62"/>
        <v>-3.0874897163443249</v>
      </c>
      <c r="T100" s="43">
        <v>32</v>
      </c>
      <c r="U100" s="43">
        <v>172</v>
      </c>
      <c r="V100" s="4">
        <v>8014</v>
      </c>
      <c r="W100" s="4">
        <v>8425</v>
      </c>
      <c r="X100" s="4">
        <v>9082</v>
      </c>
      <c r="Y100" s="4">
        <v>18210</v>
      </c>
      <c r="Z100" s="4">
        <v>17420</v>
      </c>
      <c r="AA100" s="4">
        <v>8502</v>
      </c>
      <c r="AB100" s="4">
        <v>8457</v>
      </c>
      <c r="AC100" s="4">
        <v>13080</v>
      </c>
      <c r="AD100" s="13">
        <f t="shared" si="65"/>
        <v>-2.5856569800976557</v>
      </c>
      <c r="AE100" s="13">
        <f t="shared" si="66"/>
        <v>-2.7198630361016027</v>
      </c>
      <c r="AF100" s="13">
        <f t="shared" si="67"/>
        <v>-2.5293904369310156</v>
      </c>
      <c r="AG100" s="13">
        <f t="shared" si="68"/>
        <v>0.44910344701030214</v>
      </c>
      <c r="AH100" s="13">
        <f t="shared" si="69"/>
        <v>0.57968204105594234</v>
      </c>
      <c r="AI100" s="13">
        <f t="shared" si="70"/>
        <v>-1.7660177337555014</v>
      </c>
      <c r="AJ100" s="13">
        <f t="shared" si="71"/>
        <v>-2.105807124669218</v>
      </c>
      <c r="AK100" s="15">
        <f t="shared" si="106"/>
        <v>10.267800000000001</v>
      </c>
      <c r="AL100" s="13">
        <f t="shared" si="89"/>
        <v>-9.7782874617736937</v>
      </c>
      <c r="AM100" s="13">
        <f t="shared" si="72"/>
        <v>-0.40516451516620788</v>
      </c>
      <c r="AN100" s="17">
        <f t="shared" si="107"/>
        <v>8.9361865104166665</v>
      </c>
      <c r="AO100" s="13">
        <f t="shared" si="90"/>
        <v>-22.70334764408064</v>
      </c>
      <c r="AP100" s="13">
        <f t="shared" si="73"/>
        <v>-0.88865908832625662</v>
      </c>
      <c r="AQ100" s="10" t="s">
        <v>239</v>
      </c>
      <c r="AR100" s="10" t="s">
        <v>235</v>
      </c>
      <c r="AS100">
        <v>173.17</v>
      </c>
    </row>
    <row r="101" spans="1:45" ht="14">
      <c r="A101" s="7" t="s">
        <v>119</v>
      </c>
      <c r="B101" s="7" t="s">
        <v>53</v>
      </c>
      <c r="C101" s="4">
        <v>4.1791881954074297</v>
      </c>
      <c r="D101" s="4">
        <f t="shared" si="116"/>
        <v>15107.34667968738</v>
      </c>
      <c r="E101" s="13">
        <f t="shared" si="117"/>
        <v>11.859267143554595</v>
      </c>
      <c r="F101" s="13">
        <f t="shared" si="118"/>
        <v>-14.357825284092907</v>
      </c>
      <c r="G101" s="13">
        <f t="shared" si="60"/>
        <v>-0.58265887888308243</v>
      </c>
      <c r="H101" s="4">
        <v>4.4964774458606502</v>
      </c>
      <c r="I101" s="9">
        <f t="shared" si="119"/>
        <v>31367.322265624367</v>
      </c>
      <c r="J101" s="13">
        <f t="shared" si="97"/>
        <v>24.623347978515127</v>
      </c>
      <c r="K101" s="13">
        <f t="shared" si="98"/>
        <v>43.041864119219767</v>
      </c>
      <c r="L101" s="13">
        <f t="shared" si="61"/>
        <v>2.5902336256491241</v>
      </c>
      <c r="M101" s="3">
        <v>-514</v>
      </c>
      <c r="N101" s="3">
        <v>-501</v>
      </c>
      <c r="O101" s="3">
        <f t="shared" si="101"/>
        <v>13</v>
      </c>
      <c r="P101" s="13">
        <v>1.653</v>
      </c>
      <c r="Q101" s="13">
        <f t="shared" si="114"/>
        <v>2105.7324840764331</v>
      </c>
      <c r="R101" s="13">
        <f t="shared" si="115"/>
        <v>-248.73397856925271</v>
      </c>
      <c r="S101" s="13">
        <f t="shared" si="62"/>
        <v>-5.4249451186208741</v>
      </c>
      <c r="T101" s="43">
        <v>21</v>
      </c>
      <c r="U101" s="43">
        <v>222</v>
      </c>
      <c r="V101" s="4">
        <v>3834</v>
      </c>
      <c r="W101" s="4">
        <v>7832</v>
      </c>
      <c r="X101" s="4">
        <v>18279</v>
      </c>
      <c r="Y101" s="4">
        <v>21236</v>
      </c>
      <c r="Z101" s="4">
        <v>20183</v>
      </c>
      <c r="AA101" s="4">
        <v>15683</v>
      </c>
      <c r="AB101" s="4">
        <v>12632</v>
      </c>
      <c r="AC101" s="4">
        <v>14885</v>
      </c>
      <c r="AD101" s="13">
        <f t="shared" si="65"/>
        <v>-5.7876292756440275</v>
      </c>
      <c r="AE101" s="13">
        <f t="shared" si="66"/>
        <v>-3.036835343584551</v>
      </c>
      <c r="AF101" s="13">
        <f t="shared" si="67"/>
        <v>0.50831891586082278</v>
      </c>
      <c r="AG101" s="13">
        <f t="shared" si="68"/>
        <v>1.116731155752295</v>
      </c>
      <c r="AH101" s="13">
        <f t="shared" si="69"/>
        <v>1.2190577364062203</v>
      </c>
      <c r="AI101" s="13">
        <f t="shared" si="70"/>
        <v>0.89306268450408299</v>
      </c>
      <c r="AJ101" s="13">
        <f t="shared" si="71"/>
        <v>-0.36324926057948714</v>
      </c>
      <c r="AK101" s="15">
        <f t="shared" si="106"/>
        <v>11.684725</v>
      </c>
      <c r="AL101" s="13">
        <f t="shared" si="89"/>
        <v>3.5337588176016177</v>
      </c>
      <c r="AM101" s="13">
        <f t="shared" si="72"/>
        <v>0.1562464347787427</v>
      </c>
      <c r="AN101" s="17">
        <f t="shared" si="107"/>
        <v>12.198638333333333</v>
      </c>
      <c r="AO101" s="13">
        <f t="shared" si="90"/>
        <v>10.112918340749232</v>
      </c>
      <c r="AP101" s="13">
        <f t="shared" si="73"/>
        <v>0.46293222130556533</v>
      </c>
      <c r="AQ101" s="10" t="s">
        <v>239</v>
      </c>
      <c r="AR101" s="10" t="s">
        <v>235</v>
      </c>
      <c r="AS101">
        <v>173.17</v>
      </c>
    </row>
    <row r="102" spans="1:45" ht="13" customHeight="1">
      <c r="A102" s="24" t="s">
        <v>197</v>
      </c>
      <c r="B102" s="7" t="s">
        <v>54</v>
      </c>
      <c r="C102" s="4">
        <v>5.3824146634303602</v>
      </c>
      <c r="D102" s="4">
        <f t="shared" ref="D102:D104" si="120">POWER(10,C102)</f>
        <v>241220.74999999662</v>
      </c>
      <c r="E102" s="13">
        <f t="shared" si="117"/>
        <v>189.35828874999737</v>
      </c>
      <c r="F102" s="13">
        <f t="shared" si="118"/>
        <v>92.837915842223623</v>
      </c>
      <c r="G102" s="13">
        <f t="shared" si="60"/>
        <v>11.449605801346225</v>
      </c>
      <c r="H102" s="4">
        <v>5.7915792546884397</v>
      </c>
      <c r="I102" s="9">
        <f t="shared" ref="I102:I104" si="121">POWER(10,H102)</f>
        <v>618841.24999999243</v>
      </c>
      <c r="J102" s="13">
        <f t="shared" si="97"/>
        <v>485.79038124999408</v>
      </c>
      <c r="K102" s="13">
        <f t="shared" si="98"/>
        <v>97.112952305907726</v>
      </c>
      <c r="L102" s="13">
        <f t="shared" si="61"/>
        <v>15.54125171392702</v>
      </c>
      <c r="M102" s="3">
        <v>-585</v>
      </c>
      <c r="N102" s="3">
        <v>-488</v>
      </c>
      <c r="O102" s="3">
        <f t="shared" si="101"/>
        <v>97</v>
      </c>
      <c r="P102" s="13">
        <v>0.21</v>
      </c>
      <c r="Q102" s="13">
        <f t="shared" si="114"/>
        <v>267.515923566879</v>
      </c>
      <c r="R102" s="13">
        <f t="shared" si="115"/>
        <v>55.696227767971521</v>
      </c>
      <c r="S102" s="13">
        <f t="shared" si="62"/>
        <v>3.5355904697544078</v>
      </c>
      <c r="T102" s="43">
        <v>155</v>
      </c>
      <c r="U102" s="43">
        <v>156</v>
      </c>
      <c r="V102" s="4">
        <v>194963</v>
      </c>
      <c r="W102" s="4">
        <v>389687</v>
      </c>
      <c r="X102" s="4">
        <v>482101</v>
      </c>
      <c r="Y102" s="4">
        <v>504190</v>
      </c>
      <c r="Z102" s="4">
        <v>507208</v>
      </c>
      <c r="AA102" s="4">
        <v>377950</v>
      </c>
      <c r="AB102" s="4">
        <v>338351</v>
      </c>
      <c r="AC102" s="4">
        <v>312684</v>
      </c>
      <c r="AD102" s="13">
        <f t="shared" si="65"/>
        <v>11.275371628432085</v>
      </c>
      <c r="AE102" s="13">
        <f t="shared" si="66"/>
        <v>13.931597047704434</v>
      </c>
      <c r="AF102" s="13">
        <f t="shared" si="67"/>
        <v>14.720174910630233</v>
      </c>
      <c r="AG102" s="13">
        <f t="shared" si="68"/>
        <v>14.871946266251822</v>
      </c>
      <c r="AH102" s="13">
        <f t="shared" si="69"/>
        <v>15.221061483242966</v>
      </c>
      <c r="AI102" s="13">
        <f t="shared" si="70"/>
        <v>14.713114756708334</v>
      </c>
      <c r="AJ102" s="13">
        <f t="shared" si="71"/>
        <v>13.915704213251852</v>
      </c>
      <c r="AK102" s="15">
        <f t="shared" si="106"/>
        <v>245.45694</v>
      </c>
      <c r="AL102" s="13">
        <f t="shared" si="89"/>
        <v>95.4078238733034</v>
      </c>
      <c r="AM102" s="13">
        <f t="shared" si="72"/>
        <v>13.379814635139201</v>
      </c>
      <c r="AN102" s="17">
        <f t="shared" si="107"/>
        <v>305.81575354166665</v>
      </c>
      <c r="AO102" s="13">
        <f t="shared" si="90"/>
        <v>96.414507796601768</v>
      </c>
      <c r="AP102" s="13">
        <f t="shared" si="73"/>
        <v>14.454417201882215</v>
      </c>
      <c r="AQ102" s="10" t="s">
        <v>241</v>
      </c>
      <c r="AR102" s="10" t="s">
        <v>235</v>
      </c>
      <c r="AS102">
        <v>154.19</v>
      </c>
    </row>
    <row r="103" spans="1:45" ht="14">
      <c r="A103" s="24" t="s">
        <v>197</v>
      </c>
      <c r="B103" s="7" t="s">
        <v>54</v>
      </c>
      <c r="C103" s="4">
        <v>5.3919056123776903</v>
      </c>
      <c r="D103" s="4">
        <f t="shared" si="120"/>
        <v>246550.34374999569</v>
      </c>
      <c r="E103" s="13">
        <f t="shared" si="117"/>
        <v>193.54201984374663</v>
      </c>
      <c r="F103" s="13">
        <f t="shared" si="118"/>
        <v>92.992736145386374</v>
      </c>
      <c r="G103" s="13">
        <f t="shared" si="60"/>
        <v>11.544515290819525</v>
      </c>
      <c r="H103" s="4">
        <v>5.7607466695385297</v>
      </c>
      <c r="I103" s="9">
        <f t="shared" si="121"/>
        <v>576430.12499999371</v>
      </c>
      <c r="J103" s="13">
        <f t="shared" si="97"/>
        <v>452.49764812499507</v>
      </c>
      <c r="K103" s="13">
        <f t="shared" si="98"/>
        <v>96.900536376682822</v>
      </c>
      <c r="L103" s="13">
        <f t="shared" si="61"/>
        <v>15.232925862427924</v>
      </c>
      <c r="M103" s="3">
        <v>-584</v>
      </c>
      <c r="N103" s="3">
        <v>-503</v>
      </c>
      <c r="O103" s="3">
        <f t="shared" si="101"/>
        <v>81</v>
      </c>
      <c r="P103" s="13">
        <v>0.19</v>
      </c>
      <c r="Q103" s="13">
        <f t="shared" si="114"/>
        <v>242.03821656050954</v>
      </c>
      <c r="R103" s="13">
        <f t="shared" si="115"/>
        <v>59.915634647212336</v>
      </c>
      <c r="S103" s="13">
        <f t="shared" si="62"/>
        <v>3.9702474075653109</v>
      </c>
      <c r="T103" s="43">
        <v>131</v>
      </c>
      <c r="U103" s="43">
        <v>134</v>
      </c>
      <c r="V103" s="4">
        <v>205925</v>
      </c>
      <c r="W103" s="4">
        <v>253004</v>
      </c>
      <c r="X103" s="4">
        <v>144424</v>
      </c>
      <c r="Y103" s="4">
        <v>236000</v>
      </c>
      <c r="Z103" s="4">
        <v>711409</v>
      </c>
      <c r="AA103" s="4">
        <v>453990</v>
      </c>
      <c r="AB103" s="4">
        <v>285003</v>
      </c>
      <c r="AC103" s="4">
        <v>319077</v>
      </c>
      <c r="AD103" s="13">
        <f t="shared" si="65"/>
        <v>11.512940385492751</v>
      </c>
      <c r="AE103" s="13">
        <f t="shared" si="66"/>
        <v>12.055711742839222</v>
      </c>
      <c r="AF103" s="13">
        <f t="shared" si="67"/>
        <v>9.4851882788608854</v>
      </c>
      <c r="AG103" s="13">
        <f t="shared" si="68"/>
        <v>11.575124018762168</v>
      </c>
      <c r="AH103" s="13">
        <f t="shared" si="69"/>
        <v>16.690394085564314</v>
      </c>
      <c r="AI103" s="13">
        <f t="shared" si="70"/>
        <v>15.50923412787345</v>
      </c>
      <c r="AJ103" s="13">
        <f t="shared" si="71"/>
        <v>13.170523884471255</v>
      </c>
      <c r="AK103" s="15">
        <f t="shared" si="106"/>
        <v>250.47544500000001</v>
      </c>
      <c r="AL103" s="13">
        <f t="shared" si="89"/>
        <v>95.499832328873595</v>
      </c>
      <c r="AM103" s="13">
        <f t="shared" si="72"/>
        <v>13.467713046050152</v>
      </c>
      <c r="AN103" s="17">
        <f t="shared" si="107"/>
        <v>309.09989098958334</v>
      </c>
      <c r="AO103" s="13">
        <f t="shared" si="90"/>
        <v>96.452603084104766</v>
      </c>
      <c r="AP103" s="13">
        <f t="shared" si="73"/>
        <v>14.500807185467474</v>
      </c>
      <c r="AQ103" s="10" t="s">
        <v>241</v>
      </c>
      <c r="AR103" s="10" t="s">
        <v>235</v>
      </c>
      <c r="AS103">
        <v>154.19</v>
      </c>
    </row>
    <row r="104" spans="1:45" ht="14">
      <c r="A104" s="24" t="s">
        <v>197</v>
      </c>
      <c r="B104" s="7" t="s">
        <v>54</v>
      </c>
      <c r="C104" s="4">
        <v>5.4008354396648599</v>
      </c>
      <c r="D104" s="4">
        <f t="shared" si="120"/>
        <v>251672.31249999916</v>
      </c>
      <c r="E104" s="13">
        <f t="shared" si="117"/>
        <v>197.56276531249935</v>
      </c>
      <c r="F104" s="13">
        <f t="shared" si="118"/>
        <v>93.13534613744244</v>
      </c>
      <c r="G104" s="13">
        <f t="shared" si="60"/>
        <v>11.63381356369122</v>
      </c>
      <c r="H104" s="4">
        <v>5.4187106322433403</v>
      </c>
      <c r="I104" s="9">
        <f t="shared" si="121"/>
        <v>262247.06249999814</v>
      </c>
      <c r="J104" s="13">
        <f t="shared" si="97"/>
        <v>205.86394406249855</v>
      </c>
      <c r="K104" s="13">
        <f t="shared" si="98"/>
        <v>93.187247983676954</v>
      </c>
      <c r="L104" s="13">
        <f t="shared" si="61"/>
        <v>11.812565489476023</v>
      </c>
      <c r="M104" s="3">
        <v>-586</v>
      </c>
      <c r="N104" s="3">
        <v>-508</v>
      </c>
      <c r="O104" s="3">
        <f t="shared" si="101"/>
        <v>78</v>
      </c>
      <c r="P104" s="13">
        <v>0.2</v>
      </c>
      <c r="Q104" s="13">
        <f t="shared" si="114"/>
        <v>254.77707006369425</v>
      </c>
      <c r="R104" s="13">
        <f t="shared" si="115"/>
        <v>57.805931207591932</v>
      </c>
      <c r="S104" s="13">
        <f t="shared" si="62"/>
        <v>3.7474834604537888</v>
      </c>
      <c r="T104" s="43">
        <v>152</v>
      </c>
      <c r="U104" s="43">
        <v>143</v>
      </c>
      <c r="V104" s="4">
        <v>210083</v>
      </c>
      <c r="W104" s="4">
        <v>155667</v>
      </c>
      <c r="X104" s="4">
        <v>162301</v>
      </c>
      <c r="Y104" s="4">
        <v>931080</v>
      </c>
      <c r="Z104" s="4">
        <v>645182</v>
      </c>
      <c r="AA104" s="4">
        <v>426687</v>
      </c>
      <c r="AB104" s="4">
        <v>328631</v>
      </c>
      <c r="AC104" s="4">
        <v>312780</v>
      </c>
      <c r="AD104" s="13">
        <f t="shared" si="65"/>
        <v>11.599758744389529</v>
      </c>
      <c r="AE104" s="13">
        <f t="shared" si="66"/>
        <v>9.9464034265868833</v>
      </c>
      <c r="AF104" s="13">
        <f t="shared" si="67"/>
        <v>9.9920065443475039</v>
      </c>
      <c r="AG104" s="13">
        <f t="shared" si="68"/>
        <v>17.535873968218205</v>
      </c>
      <c r="AH104" s="13">
        <f t="shared" si="69"/>
        <v>16.266022958927813</v>
      </c>
      <c r="AI104" s="13">
        <f t="shared" si="70"/>
        <v>15.239865372748035</v>
      </c>
      <c r="AJ104" s="13">
        <f t="shared" si="71"/>
        <v>13.789114852859132</v>
      </c>
      <c r="AK104" s="15">
        <f t="shared" si="106"/>
        <v>245.53230000000002</v>
      </c>
      <c r="AL104" s="13">
        <f t="shared" si="89"/>
        <v>95.409233326939059</v>
      </c>
      <c r="AM104" s="13">
        <f t="shared" si="72"/>
        <v>13.381147798057935</v>
      </c>
      <c r="AN104" s="17">
        <f t="shared" si="107"/>
        <v>345.63873812499997</v>
      </c>
      <c r="AO104" s="13">
        <f t="shared" si="90"/>
        <v>96.82761253571222</v>
      </c>
      <c r="AP104" s="13">
        <f t="shared" si="73"/>
        <v>14.98604277568621</v>
      </c>
      <c r="AQ104" s="10" t="s">
        <v>241</v>
      </c>
      <c r="AR104" s="10" t="s">
        <v>235</v>
      </c>
      <c r="AS104">
        <v>154.19</v>
      </c>
    </row>
    <row r="105" spans="1:45" ht="13" customHeight="1">
      <c r="A105" s="7" t="s">
        <v>121</v>
      </c>
      <c r="B105" s="7" t="s">
        <v>55</v>
      </c>
      <c r="C105" s="4">
        <v>4.5849758433886798</v>
      </c>
      <c r="D105" s="4">
        <f t="shared" ref="D105:D107" si="122">POWER(10,C105)</f>
        <v>38457.039062499629</v>
      </c>
      <c r="E105" s="13">
        <f t="shared" si="117"/>
        <v>30.188775664062209</v>
      </c>
      <c r="F105" s="13">
        <f t="shared" si="118"/>
        <v>55.076018481449431</v>
      </c>
      <c r="G105" s="13">
        <f t="shared" si="60"/>
        <v>3.4752176009294171</v>
      </c>
      <c r="H105" s="4">
        <v>4.7666384993719504</v>
      </c>
      <c r="I105" s="9">
        <f t="shared" ref="I105:I107" si="123">POWER(10,H105)</f>
        <v>58430.351562499265</v>
      </c>
      <c r="J105" s="13">
        <f t="shared" si="97"/>
        <v>45.867825976561925</v>
      </c>
      <c r="K105" s="13">
        <f t="shared" si="98"/>
        <v>69.423011225413958</v>
      </c>
      <c r="L105" s="13">
        <f t="shared" si="61"/>
        <v>5.2918441607621247</v>
      </c>
      <c r="M105" s="3">
        <v>-550</v>
      </c>
      <c r="N105" s="3">
        <v>-534</v>
      </c>
      <c r="O105" s="3">
        <f t="shared" si="101"/>
        <v>16</v>
      </c>
      <c r="P105" s="13">
        <v>0.17499999999999999</v>
      </c>
      <c r="Q105" s="13">
        <f t="shared" si="114"/>
        <v>222.92993630573247</v>
      </c>
      <c r="R105" s="13">
        <f t="shared" si="115"/>
        <v>63.080189806642942</v>
      </c>
      <c r="S105" s="13">
        <f t="shared" si="62"/>
        <v>4.3274029302306563</v>
      </c>
      <c r="T105" s="43">
        <v>25</v>
      </c>
      <c r="U105" s="43">
        <v>164</v>
      </c>
      <c r="V105" s="4">
        <v>24124</v>
      </c>
      <c r="W105" s="4">
        <v>20790</v>
      </c>
      <c r="X105" s="4">
        <v>68569</v>
      </c>
      <c r="Y105" s="4">
        <v>50879</v>
      </c>
      <c r="Z105" s="4">
        <v>24868</v>
      </c>
      <c r="AA105" s="4">
        <v>33591</v>
      </c>
      <c r="AB105" s="4">
        <v>29119</v>
      </c>
      <c r="AC105" s="4">
        <v>28584</v>
      </c>
      <c r="AD105" s="13">
        <f t="shared" si="65"/>
        <v>2.200342836924686</v>
      </c>
      <c r="AE105" s="13">
        <f t="shared" si="66"/>
        <v>1.2029827617793265</v>
      </c>
      <c r="AF105" s="13">
        <f t="shared" si="67"/>
        <v>6.2500727456799732</v>
      </c>
      <c r="AG105" s="13">
        <f t="shared" si="68"/>
        <v>4.9113896580059908</v>
      </c>
      <c r="AH105" s="13">
        <f t="shared" si="69"/>
        <v>2.1256091213006805</v>
      </c>
      <c r="AI105" s="13">
        <f t="shared" si="70"/>
        <v>4.2010005892156528</v>
      </c>
      <c r="AJ105" s="13">
        <f t="shared" si="71"/>
        <v>3.2637941336787302</v>
      </c>
      <c r="AK105" s="15">
        <f t="shared" si="106"/>
        <v>22.438440000000003</v>
      </c>
      <c r="AL105" s="13">
        <f t="shared" si="89"/>
        <v>49.765603134620775</v>
      </c>
      <c r="AM105" s="13">
        <f t="shared" si="72"/>
        <v>2.9899880768951426</v>
      </c>
      <c r="AN105" s="17">
        <f t="shared" si="107"/>
        <v>25.050282187499999</v>
      </c>
      <c r="AO105" s="13">
        <f t="shared" si="90"/>
        <v>56.22803800002103</v>
      </c>
      <c r="AP105" s="13">
        <f t="shared" si="73"/>
        <v>3.5879448913631724</v>
      </c>
      <c r="AQ105" s="10" t="s">
        <v>238</v>
      </c>
      <c r="AR105" s="10" t="s">
        <v>236</v>
      </c>
      <c r="AS105">
        <v>160.28</v>
      </c>
    </row>
    <row r="106" spans="1:45" ht="14">
      <c r="A106" s="7" t="s">
        <v>121</v>
      </c>
      <c r="B106" s="7" t="s">
        <v>55</v>
      </c>
      <c r="C106" s="4">
        <v>4.5310476517403302</v>
      </c>
      <c r="D106" s="4">
        <f t="shared" si="122"/>
        <v>33966.253906249905</v>
      </c>
      <c r="E106" s="13">
        <f t="shared" si="117"/>
        <v>26.663509316406177</v>
      </c>
      <c r="F106" s="13">
        <f t="shared" si="118"/>
        <v>49.13647772667629</v>
      </c>
      <c r="G106" s="13">
        <f t="shared" si="60"/>
        <v>2.935935684445921</v>
      </c>
      <c r="H106" s="4">
        <v>4.5303829175685904</v>
      </c>
      <c r="I106" s="9">
        <f t="shared" si="123"/>
        <v>33914.304687499745</v>
      </c>
      <c r="J106" s="13">
        <f t="shared" si="97"/>
        <v>26.622729179687301</v>
      </c>
      <c r="K106" s="13">
        <f t="shared" si="98"/>
        <v>47.319450589232446</v>
      </c>
      <c r="L106" s="13">
        <f t="shared" si="61"/>
        <v>2.929288342728527</v>
      </c>
      <c r="M106" s="3">
        <v>-588</v>
      </c>
      <c r="N106" s="3">
        <v>-521</v>
      </c>
      <c r="O106" s="3">
        <f t="shared" si="101"/>
        <v>67</v>
      </c>
      <c r="P106" s="13">
        <v>0.188</v>
      </c>
      <c r="Q106" s="13">
        <f t="shared" si="114"/>
        <v>239.49044585987261</v>
      </c>
      <c r="R106" s="13">
        <f t="shared" si="115"/>
        <v>60.337575335136421</v>
      </c>
      <c r="S106" s="13">
        <f t="shared" si="62"/>
        <v>4.0162049244568019</v>
      </c>
      <c r="T106" s="43">
        <v>107</v>
      </c>
      <c r="U106" s="43">
        <v>121</v>
      </c>
      <c r="V106" s="4">
        <v>4547</v>
      </c>
      <c r="W106" s="4">
        <v>12422</v>
      </c>
      <c r="X106" s="4">
        <v>34636</v>
      </c>
      <c r="Y106" s="4">
        <v>35807</v>
      </c>
      <c r="Z106" s="4">
        <v>23148</v>
      </c>
      <c r="AA106" s="4">
        <v>26894</v>
      </c>
      <c r="AB106" s="4">
        <v>21742</v>
      </c>
      <c r="AC106" s="4">
        <v>24848</v>
      </c>
      <c r="AD106" s="13">
        <f t="shared" si="65"/>
        <v>-5.0469008190133833</v>
      </c>
      <c r="AE106" s="13">
        <f t="shared" si="66"/>
        <v>-1.0336468824400455</v>
      </c>
      <c r="AF106" s="13">
        <f t="shared" si="67"/>
        <v>3.2840718971329048</v>
      </c>
      <c r="AG106" s="13">
        <f t="shared" si="68"/>
        <v>3.385683351644917</v>
      </c>
      <c r="AH106" s="13">
        <f t="shared" si="69"/>
        <v>1.8143352712545913</v>
      </c>
      <c r="AI106" s="13">
        <f t="shared" si="70"/>
        <v>3.2353252653327749</v>
      </c>
      <c r="AJ106" s="13">
        <f t="shared" si="71"/>
        <v>1.9950244834861004</v>
      </c>
      <c r="AK106" s="15">
        <f t="shared" si="106"/>
        <v>19.505680000000002</v>
      </c>
      <c r="AL106" s="13">
        <f t="shared" si="89"/>
        <v>42.212652929813267</v>
      </c>
      <c r="AM106" s="13">
        <f t="shared" si="72"/>
        <v>2.3816724287961399</v>
      </c>
      <c r="AN106" s="17">
        <f t="shared" si="107"/>
        <v>19.207290052083334</v>
      </c>
      <c r="AO106" s="13">
        <f t="shared" si="90"/>
        <v>42.912300640710775</v>
      </c>
      <c r="AP106" s="13">
        <f t="shared" si="73"/>
        <v>2.4344796141698328</v>
      </c>
      <c r="AQ106" s="10" t="s">
        <v>238</v>
      </c>
      <c r="AR106" s="10" t="s">
        <v>236</v>
      </c>
      <c r="AS106">
        <v>160.28</v>
      </c>
    </row>
    <row r="107" spans="1:45" ht="14">
      <c r="A107" s="7" t="s">
        <v>121</v>
      </c>
      <c r="B107" s="7" t="s">
        <v>55</v>
      </c>
      <c r="C107" s="4">
        <v>4.8012000063122304</v>
      </c>
      <c r="D107" s="4">
        <f t="shared" si="122"/>
        <v>63270.316406249309</v>
      </c>
      <c r="E107" s="13">
        <f t="shared" si="117"/>
        <v>49.667198378905709</v>
      </c>
      <c r="F107" s="13">
        <f t="shared" si="118"/>
        <v>72.694252056383448</v>
      </c>
      <c r="G107" s="13">
        <f t="shared" si="60"/>
        <v>5.6374592301649296</v>
      </c>
      <c r="H107" s="4">
        <v>4.45094668434733</v>
      </c>
      <c r="I107" s="9">
        <f t="shared" si="123"/>
        <v>28245.332031249516</v>
      </c>
      <c r="J107" s="13">
        <f t="shared" si="97"/>
        <v>22.172585644530869</v>
      </c>
      <c r="K107" s="13">
        <f t="shared" si="98"/>
        <v>36.746213432895537</v>
      </c>
      <c r="L107" s="13">
        <f t="shared" si="61"/>
        <v>2.1349260105159211</v>
      </c>
      <c r="M107" s="3">
        <v>-567</v>
      </c>
      <c r="N107" s="3">
        <v>-510</v>
      </c>
      <c r="O107" s="3">
        <f t="shared" si="101"/>
        <v>57</v>
      </c>
      <c r="P107" s="13">
        <v>9.5000000000000001E-2</v>
      </c>
      <c r="Q107" s="13">
        <f t="shared" si="114"/>
        <v>121.01910828025477</v>
      </c>
      <c r="R107" s="13">
        <f t="shared" si="115"/>
        <v>79.957817323606164</v>
      </c>
      <c r="S107" s="13">
        <f t="shared" si="62"/>
        <v>6.9805473642051226</v>
      </c>
      <c r="T107" s="43">
        <v>99</v>
      </c>
      <c r="U107" s="43">
        <v>101</v>
      </c>
      <c r="V107" s="4">
        <v>11926</v>
      </c>
      <c r="W107" s="4">
        <v>17337</v>
      </c>
      <c r="X107" s="4">
        <v>22323</v>
      </c>
      <c r="Y107" s="4">
        <v>56377</v>
      </c>
      <c r="Z107" s="4">
        <v>29229</v>
      </c>
      <c r="AA107" s="4">
        <v>42785</v>
      </c>
      <c r="AB107" s="4">
        <v>45456</v>
      </c>
      <c r="AC107" s="4">
        <v>50447</v>
      </c>
      <c r="AD107" s="13">
        <f t="shared" si="65"/>
        <v>-0.85920231096726152</v>
      </c>
      <c r="AE107" s="13">
        <f t="shared" si="66"/>
        <v>0.41417736032508956</v>
      </c>
      <c r="AF107" s="13">
        <f t="shared" si="67"/>
        <v>1.3763201799916667</v>
      </c>
      <c r="AG107" s="13">
        <f t="shared" si="68"/>
        <v>5.3570236086187126</v>
      </c>
      <c r="AH107" s="13">
        <f t="shared" si="69"/>
        <v>2.8273401070342903</v>
      </c>
      <c r="AI107" s="13">
        <f t="shared" si="70"/>
        <v>5.2516866231865773</v>
      </c>
      <c r="AJ107" s="13">
        <f t="shared" si="71"/>
        <v>5.1979417332067417</v>
      </c>
      <c r="AK107" s="15">
        <f t="shared" si="106"/>
        <v>39.600895000000001</v>
      </c>
      <c r="AL107" s="13">
        <f t="shared" si="89"/>
        <v>71.536464011735092</v>
      </c>
      <c r="AM107" s="13">
        <f t="shared" si="72"/>
        <v>5.4571114905844444</v>
      </c>
      <c r="AN107" s="17">
        <f t="shared" si="107"/>
        <v>31.510513281249999</v>
      </c>
      <c r="AO107" s="13">
        <f t="shared" si="90"/>
        <v>65.202090165492137</v>
      </c>
      <c r="AP107" s="13">
        <f t="shared" si="73"/>
        <v>4.5843734419028088</v>
      </c>
      <c r="AQ107" s="10" t="s">
        <v>238</v>
      </c>
      <c r="AR107" s="10" t="s">
        <v>236</v>
      </c>
      <c r="AS107">
        <v>160.28</v>
      </c>
    </row>
    <row r="108" spans="1:45" ht="13" customHeight="1">
      <c r="A108" s="7" t="s">
        <v>122</v>
      </c>
      <c r="B108" s="7" t="s">
        <v>56</v>
      </c>
      <c r="C108" s="4">
        <v>3.96996114111831</v>
      </c>
      <c r="D108" s="4">
        <f t="shared" ref="D108:D110" si="124">POWER(10,C108)</f>
        <v>9331.7080078124309</v>
      </c>
      <c r="E108" s="13">
        <f t="shared" si="117"/>
        <v>7.3253907861327585</v>
      </c>
      <c r="F108" s="13">
        <f t="shared" si="118"/>
        <v>-85.136880692745805</v>
      </c>
      <c r="G108" s="13">
        <f t="shared" si="60"/>
        <v>-2.6749294217742783</v>
      </c>
      <c r="H108" s="4">
        <v>4.3891840872702899</v>
      </c>
      <c r="I108" s="9">
        <f t="shared" ref="I108:I110" si="125">POWER(10,H108)</f>
        <v>24501.015624999804</v>
      </c>
      <c r="J108" s="13">
        <f t="shared" si="97"/>
        <v>19.233297265624845</v>
      </c>
      <c r="K108" s="13">
        <f t="shared" si="98"/>
        <v>27.079585958115949</v>
      </c>
      <c r="L108" s="13">
        <f t="shared" si="61"/>
        <v>1.5173000397455176</v>
      </c>
      <c r="M108" s="3">
        <v>-564</v>
      </c>
      <c r="N108" s="3">
        <v>-505</v>
      </c>
      <c r="O108" s="3">
        <f t="shared" si="101"/>
        <v>59</v>
      </c>
      <c r="P108" s="13">
        <v>0.872</v>
      </c>
      <c r="Q108" s="13">
        <f t="shared" si="114"/>
        <v>1110.8280254777069</v>
      </c>
      <c r="R108" s="13">
        <f t="shared" si="115"/>
        <v>-83.966139934899161</v>
      </c>
      <c r="S108" s="13">
        <f t="shared" si="62"/>
        <v>-2.6473814322320708</v>
      </c>
      <c r="T108" s="43">
        <v>91</v>
      </c>
      <c r="U108" s="43">
        <v>103</v>
      </c>
      <c r="V108" s="4">
        <v>8510</v>
      </c>
      <c r="W108" s="4">
        <v>16600</v>
      </c>
      <c r="X108" s="4">
        <v>17578</v>
      </c>
      <c r="Y108" s="4">
        <v>24521</v>
      </c>
      <c r="Z108" s="4">
        <v>13076</v>
      </c>
      <c r="AA108" s="4">
        <v>11419</v>
      </c>
      <c r="AB108" s="4">
        <v>10531</v>
      </c>
      <c r="AC108" s="4">
        <v>7599</v>
      </c>
      <c r="AD108" s="13">
        <f t="shared" si="65"/>
        <v>-2.3248547602185869</v>
      </c>
      <c r="AE108" s="13">
        <f t="shared" si="66"/>
        <v>0.22551874886518583</v>
      </c>
      <c r="AF108" s="13">
        <f t="shared" si="67"/>
        <v>0.33848918878148226</v>
      </c>
      <c r="AG108" s="13">
        <f t="shared" si="68"/>
        <v>1.7413857623805939</v>
      </c>
      <c r="AH108" s="13">
        <f t="shared" si="69"/>
        <v>-0.6660503465771882</v>
      </c>
      <c r="AI108" s="13">
        <f t="shared" si="70"/>
        <v>-0.48494801051085701</v>
      </c>
      <c r="AJ108" s="13">
        <f t="shared" si="71"/>
        <v>-1.1532743029041714</v>
      </c>
      <c r="AK108" s="15">
        <f t="shared" si="106"/>
        <v>5.9652149999999997</v>
      </c>
      <c r="AL108" s="13">
        <f t="shared" si="89"/>
        <v>-88.959073562310834</v>
      </c>
      <c r="AM108" s="13">
        <f t="shared" si="72"/>
        <v>-2.7636775099465893</v>
      </c>
      <c r="AN108" s="17">
        <f t="shared" si="107"/>
        <v>9.6337980208333338</v>
      </c>
      <c r="AO108" s="13">
        <f t="shared" si="90"/>
        <v>-13.818039119025617</v>
      </c>
      <c r="AP108" s="13">
        <f t="shared" si="73"/>
        <v>-0.56220596560808811</v>
      </c>
      <c r="AQ108" s="10" t="s">
        <v>239</v>
      </c>
      <c r="AR108" s="10" t="s">
        <v>235</v>
      </c>
      <c r="AS108">
        <v>137.13999999999999</v>
      </c>
    </row>
    <row r="109" spans="1:45" ht="14">
      <c r="A109" s="7" t="s">
        <v>122</v>
      </c>
      <c r="B109" s="7" t="s">
        <v>56</v>
      </c>
      <c r="C109" s="4">
        <v>3.8832960152767702</v>
      </c>
      <c r="D109" s="4">
        <f t="shared" si="124"/>
        <v>7643.5659179687354</v>
      </c>
      <c r="E109" s="13">
        <f t="shared" si="117"/>
        <v>6.000199245605458</v>
      </c>
      <c r="F109" s="13">
        <f t="shared" si="118"/>
        <v>-126.02582755785652</v>
      </c>
      <c r="G109" s="13">
        <f t="shared" si="60"/>
        <v>-3.541580680189675</v>
      </c>
      <c r="H109" s="4">
        <v>4.3690822222803902</v>
      </c>
      <c r="I109" s="9">
        <f t="shared" si="125"/>
        <v>23392.800781249705</v>
      </c>
      <c r="J109" s="13">
        <f t="shared" si="97"/>
        <v>18.363348613281019</v>
      </c>
      <c r="K109" s="13">
        <f t="shared" si="98"/>
        <v>23.625040860703216</v>
      </c>
      <c r="L109" s="13">
        <f t="shared" si="61"/>
        <v>1.316281389846524</v>
      </c>
      <c r="M109" s="3">
        <v>-571</v>
      </c>
      <c r="N109" s="3">
        <v>-514</v>
      </c>
      <c r="O109" s="3">
        <f t="shared" si="101"/>
        <v>57</v>
      </c>
      <c r="P109" s="13">
        <v>0.96799999999999997</v>
      </c>
      <c r="Q109" s="13">
        <f t="shared" si="114"/>
        <v>1233.1210191082803</v>
      </c>
      <c r="R109" s="13">
        <f t="shared" si="115"/>
        <v>-104.21929295525504</v>
      </c>
      <c r="S109" s="13">
        <f t="shared" si="62"/>
        <v>-3.1009701559903355</v>
      </c>
      <c r="T109" s="43">
        <v>92</v>
      </c>
      <c r="U109" s="43">
        <v>100</v>
      </c>
      <c r="V109" s="4">
        <v>5940</v>
      </c>
      <c r="W109" s="4">
        <v>6204</v>
      </c>
      <c r="X109" s="4">
        <v>15304</v>
      </c>
      <c r="Y109" s="4">
        <v>19880</v>
      </c>
      <c r="Z109" s="4">
        <v>10665</v>
      </c>
      <c r="AA109" s="4">
        <v>8346</v>
      </c>
      <c r="AB109" s="4">
        <v>9040</v>
      </c>
      <c r="AC109" s="4">
        <v>5568</v>
      </c>
      <c r="AD109" s="13">
        <f t="shared" si="65"/>
        <v>-3.8862859112525299</v>
      </c>
      <c r="AE109" s="13">
        <f t="shared" si="66"/>
        <v>-4.048844240119692</v>
      </c>
      <c r="AF109" s="13">
        <f t="shared" si="67"/>
        <v>-0.26315584238809908</v>
      </c>
      <c r="AG109" s="13">
        <f t="shared" si="68"/>
        <v>0.83016778967404647</v>
      </c>
      <c r="AH109" s="13">
        <f t="shared" si="69"/>
        <v>-1.5511908678060267</v>
      </c>
      <c r="AI109" s="13">
        <f t="shared" si="70"/>
        <v>-1.8464449363096418</v>
      </c>
      <c r="AJ109" s="13">
        <f t="shared" si="71"/>
        <v>-1.8162861258282326</v>
      </c>
      <c r="AK109" s="15">
        <f t="shared" si="106"/>
        <v>4.3708800000000005</v>
      </c>
      <c r="AL109" s="13">
        <f t="shared" si="89"/>
        <v>-157.88433908045977</v>
      </c>
      <c r="AM109" s="13">
        <f t="shared" si="72"/>
        <v>-4.1142496890236364</v>
      </c>
      <c r="AN109" s="17">
        <f t="shared" si="107"/>
        <v>7.5299326041666665</v>
      </c>
      <c r="AO109" s="13">
        <f t="shared" si="90"/>
        <v>-45.618833214158492</v>
      </c>
      <c r="AP109" s="13">
        <f t="shared" si="73"/>
        <v>-1.6322704424061074</v>
      </c>
      <c r="AQ109" s="10" t="s">
        <v>239</v>
      </c>
      <c r="AR109" s="10" t="s">
        <v>235</v>
      </c>
      <c r="AS109">
        <v>137.13999999999999</v>
      </c>
    </row>
    <row r="110" spans="1:45" ht="14">
      <c r="A110" s="7" t="s">
        <v>122</v>
      </c>
      <c r="B110" s="7" t="s">
        <v>56</v>
      </c>
      <c r="C110" s="4">
        <v>3.8092292060582</v>
      </c>
      <c r="D110" s="4">
        <f t="shared" si="124"/>
        <v>6445.0932617187391</v>
      </c>
      <c r="E110" s="13">
        <f t="shared" si="117"/>
        <v>5.0593982104492108</v>
      </c>
      <c r="F110" s="13">
        <f t="shared" si="118"/>
        <v>-168.0555954656881</v>
      </c>
      <c r="G110" s="13">
        <f t="shared" si="60"/>
        <v>-4.2822487723753806</v>
      </c>
      <c r="H110" s="4">
        <v>4.2750827894144798</v>
      </c>
      <c r="I110" s="9">
        <f t="shared" si="125"/>
        <v>18840.082031249833</v>
      </c>
      <c r="J110" s="13">
        <f t="shared" si="97"/>
        <v>14.789464394531119</v>
      </c>
      <c r="K110" s="13">
        <f t="shared" si="98"/>
        <v>5.1689795799082834</v>
      </c>
      <c r="L110" s="13">
        <f t="shared" si="61"/>
        <v>0.37628706118741739</v>
      </c>
      <c r="M110" s="3">
        <v>-517</v>
      </c>
      <c r="N110" s="3">
        <v>-505</v>
      </c>
      <c r="O110" s="3">
        <f t="shared" si="101"/>
        <v>12</v>
      </c>
      <c r="P110" s="13">
        <v>1.53</v>
      </c>
      <c r="Q110" s="13">
        <f t="shared" si="114"/>
        <v>1949.0445859872611</v>
      </c>
      <c r="R110" s="13">
        <f t="shared" si="115"/>
        <v>-222.78462626192174</v>
      </c>
      <c r="S110" s="13">
        <f t="shared" si="62"/>
        <v>-5.0891308910823874</v>
      </c>
      <c r="T110" s="43">
        <v>27</v>
      </c>
      <c r="U110" s="43">
        <v>157</v>
      </c>
      <c r="V110" s="4">
        <v>7541</v>
      </c>
      <c r="W110" s="4">
        <v>4524</v>
      </c>
      <c r="X110" s="4">
        <v>10780</v>
      </c>
      <c r="Y110" s="4">
        <v>22707</v>
      </c>
      <c r="Z110" s="4">
        <v>17426</v>
      </c>
      <c r="AA110" s="4">
        <v>9093</v>
      </c>
      <c r="AB110" s="4">
        <v>9918</v>
      </c>
      <c r="AC110" s="4">
        <v>5905</v>
      </c>
      <c r="AD110" s="13">
        <f t="shared" si="65"/>
        <v>-2.8498609531822683</v>
      </c>
      <c r="AE110" s="13">
        <f t="shared" si="66"/>
        <v>-5.4203361690011889</v>
      </c>
      <c r="AF110" s="13">
        <f t="shared" si="67"/>
        <v>-1.7850178040732945</v>
      </c>
      <c r="AG110" s="13">
        <f t="shared" si="68"/>
        <v>1.4076015886300963</v>
      </c>
      <c r="AH110" s="13">
        <f t="shared" si="69"/>
        <v>0.58117763132005906</v>
      </c>
      <c r="AI110" s="13">
        <f t="shared" si="70"/>
        <v>-1.4741568291936946</v>
      </c>
      <c r="AJ110" s="13">
        <f t="shared" si="71"/>
        <v>-1.4137293910309539</v>
      </c>
      <c r="AK110" s="15">
        <f t="shared" si="106"/>
        <v>4.6354250000000006</v>
      </c>
      <c r="AL110" s="13">
        <f t="shared" si="89"/>
        <v>-143.16680779000842</v>
      </c>
      <c r="AM110" s="13">
        <f t="shared" si="72"/>
        <v>-3.8590429355533566</v>
      </c>
      <c r="AN110" s="17">
        <f t="shared" si="107"/>
        <v>8.8858810937499992</v>
      </c>
      <c r="AO110" s="13">
        <f t="shared" si="90"/>
        <v>-23.398005040967472</v>
      </c>
      <c r="AP110" s="13">
        <f t="shared" si="73"/>
        <v>-0.91317635913398076</v>
      </c>
      <c r="AQ110" s="10" t="s">
        <v>239</v>
      </c>
      <c r="AR110" s="10" t="s">
        <v>235</v>
      </c>
      <c r="AS110">
        <v>137.13999999999999</v>
      </c>
    </row>
    <row r="111" spans="1:45" ht="13" customHeight="1">
      <c r="A111" s="7" t="s">
        <v>150</v>
      </c>
      <c r="B111" s="7" t="s">
        <v>57</v>
      </c>
      <c r="C111" s="4">
        <v>4.8840483667221797</v>
      </c>
      <c r="D111" s="4">
        <f t="shared" ref="D111:D113" si="126">POWER(10,C111)</f>
        <v>76568.187499998967</v>
      </c>
      <c r="E111" s="13">
        <f t="shared" si="117"/>
        <v>60.106027187499187</v>
      </c>
      <c r="F111" s="13">
        <f t="shared" si="118"/>
        <v>77.436539005158849</v>
      </c>
      <c r="G111" s="13">
        <f t="shared" si="60"/>
        <v>6.4659428342644194</v>
      </c>
      <c r="H111" s="4">
        <v>4.9572273526602402</v>
      </c>
      <c r="I111" s="9">
        <f t="shared" ref="I111:I113" si="127">POWER(10,H111)</f>
        <v>90620.687499998792</v>
      </c>
      <c r="J111" s="13">
        <f t="shared" si="97"/>
        <v>71.137239687499047</v>
      </c>
      <c r="K111" s="13">
        <f t="shared" si="98"/>
        <v>80.284587845113393</v>
      </c>
      <c r="L111" s="13">
        <f t="shared" si="61"/>
        <v>7.1977326936450217</v>
      </c>
      <c r="M111" s="3">
        <v>-537</v>
      </c>
      <c r="N111" s="3">
        <v>-498</v>
      </c>
      <c r="O111" s="3">
        <f t="shared" si="101"/>
        <v>39</v>
      </c>
      <c r="P111" s="13">
        <v>0.221</v>
      </c>
      <c r="Q111" s="13">
        <f t="shared" si="114"/>
        <v>281.52866242038215</v>
      </c>
      <c r="R111" s="13">
        <f t="shared" si="115"/>
        <v>53.375553984389093</v>
      </c>
      <c r="S111" s="13">
        <f t="shared" si="62"/>
        <v>3.3138606802424944</v>
      </c>
      <c r="T111" s="43">
        <v>35</v>
      </c>
      <c r="U111" s="43">
        <v>152</v>
      </c>
      <c r="V111" s="4">
        <v>26891</v>
      </c>
      <c r="W111" s="4">
        <v>33421</v>
      </c>
      <c r="X111" s="4">
        <v>32187</v>
      </c>
      <c r="Y111" s="4">
        <v>61418</v>
      </c>
      <c r="Z111" s="4">
        <v>70642</v>
      </c>
      <c r="AA111" s="4">
        <v>69690</v>
      </c>
      <c r="AB111" s="4">
        <v>82802</v>
      </c>
      <c r="AC111" s="4">
        <v>69778</v>
      </c>
      <c r="AD111" s="13">
        <f t="shared" si="65"/>
        <v>2.6719191659683696</v>
      </c>
      <c r="AE111" s="13">
        <f t="shared" si="66"/>
        <v>3.2646322725675372</v>
      </c>
      <c r="AF111" s="13">
        <f t="shared" si="67"/>
        <v>2.9655995875276875</v>
      </c>
      <c r="AG111" s="13">
        <f t="shared" si="68"/>
        <v>5.7289606898929337</v>
      </c>
      <c r="AH111" s="13">
        <f t="shared" si="69"/>
        <v>6.6598303982265863</v>
      </c>
      <c r="AI111" s="13">
        <f t="shared" si="70"/>
        <v>7.3704759051324373</v>
      </c>
      <c r="AJ111" s="13">
        <f t="shared" si="71"/>
        <v>7.8024378380487924</v>
      </c>
      <c r="AK111" s="15">
        <f t="shared" si="106"/>
        <v>54.775730000000003</v>
      </c>
      <c r="AL111" s="13">
        <f t="shared" ref="AL111:AL177" si="128">(1-11.271815/AK111)*100</f>
        <v>79.42188082203559</v>
      </c>
      <c r="AM111" s="13">
        <f t="shared" si="72"/>
        <v>6.8659432189424505</v>
      </c>
      <c r="AN111" s="17">
        <f t="shared" si="107"/>
        <v>53.281433437499999</v>
      </c>
      <c r="AO111" s="13">
        <f t="shared" ref="AO111:AO177" si="129">(1-10.965/AN111)*100</f>
        <v>79.42059871031411</v>
      </c>
      <c r="AP111" s="13">
        <f t="shared" si="73"/>
        <v>6.8655776684797427</v>
      </c>
      <c r="AQ111" s="10" t="s">
        <v>242</v>
      </c>
      <c r="AR111" s="10" t="s">
        <v>235</v>
      </c>
      <c r="AS111">
        <v>349.41</v>
      </c>
    </row>
    <row r="112" spans="1:45" ht="14">
      <c r="A112" s="7" t="s">
        <v>150</v>
      </c>
      <c r="B112" s="7" t="s">
        <v>57</v>
      </c>
      <c r="C112" s="4">
        <v>5.1244862409371397</v>
      </c>
      <c r="D112" s="4">
        <f t="shared" si="126"/>
        <v>133194.48437499776</v>
      </c>
      <c r="E112" s="13">
        <f t="shared" si="117"/>
        <v>104.55767023437325</v>
      </c>
      <c r="F112" s="13">
        <f t="shared" si="118"/>
        <v>87.029167760146294</v>
      </c>
      <c r="G112" s="13">
        <f t="shared" si="60"/>
        <v>8.8703215764140229</v>
      </c>
      <c r="H112" s="4">
        <v>5.0990167333364003</v>
      </c>
      <c r="I112" s="9">
        <f t="shared" si="127"/>
        <v>125607.83593749857</v>
      </c>
      <c r="J112" s="13">
        <f t="shared" si="97"/>
        <v>98.602151210936384</v>
      </c>
      <c r="K112" s="13">
        <f t="shared" si="98"/>
        <v>85.776172398108457</v>
      </c>
      <c r="L112" s="13">
        <f t="shared" si="61"/>
        <v>8.615626500406627</v>
      </c>
      <c r="M112" s="3">
        <v>-534</v>
      </c>
      <c r="N112" s="3">
        <v>-503</v>
      </c>
      <c r="O112" s="3">
        <f t="shared" si="101"/>
        <v>31</v>
      </c>
      <c r="P112" s="13">
        <v>9.7000000000000003E-2</v>
      </c>
      <c r="Q112" s="13">
        <f t="shared" si="114"/>
        <v>123.56687898089172</v>
      </c>
      <c r="R112" s="13">
        <f t="shared" si="115"/>
        <v>79.535876635682087</v>
      </c>
      <c r="S112" s="13">
        <f t="shared" si="62"/>
        <v>6.8900660744311528</v>
      </c>
      <c r="T112" s="43">
        <v>29</v>
      </c>
      <c r="U112" s="43">
        <v>161</v>
      </c>
      <c r="V112" s="11">
        <v>32495</v>
      </c>
      <c r="W112" s="4">
        <v>42820</v>
      </c>
      <c r="X112" s="4">
        <v>83710</v>
      </c>
      <c r="Y112" s="4">
        <v>118616</v>
      </c>
      <c r="Z112" s="4">
        <v>99328</v>
      </c>
      <c r="AA112" s="4">
        <v>142598</v>
      </c>
      <c r="AB112" s="4">
        <v>132492</v>
      </c>
      <c r="AC112" s="4">
        <v>137291</v>
      </c>
      <c r="AD112" s="13">
        <f t="shared" si="65"/>
        <v>3.4940150519664352</v>
      </c>
      <c r="AE112" s="13">
        <f t="shared" si="66"/>
        <v>4.3409044980488307</v>
      </c>
      <c r="AF112" s="13">
        <f t="shared" si="67"/>
        <v>7.1165680067074852</v>
      </c>
      <c r="AG112" s="13">
        <f t="shared" si="68"/>
        <v>8.5874367345742986</v>
      </c>
      <c r="AH112" s="13">
        <f t="shared" si="69"/>
        <v>8.1399174434000656</v>
      </c>
      <c r="AI112" s="13">
        <f t="shared" si="70"/>
        <v>10.47990560379775</v>
      </c>
      <c r="AJ112" s="13">
        <f t="shared" si="71"/>
        <v>9.8439261286938979</v>
      </c>
      <c r="AK112" s="15">
        <f t="shared" si="106"/>
        <v>107.77343499999999</v>
      </c>
      <c r="AL112" s="13">
        <f t="shared" si="128"/>
        <v>89.54119352324625</v>
      </c>
      <c r="AM112" s="13">
        <f t="shared" si="72"/>
        <v>9.8051787284296701</v>
      </c>
      <c r="AN112" s="17">
        <f t="shared" si="107"/>
        <v>93.891552239583334</v>
      </c>
      <c r="AO112" s="13">
        <f t="shared" si="129"/>
        <v>88.321633055953129</v>
      </c>
      <c r="AP112" s="13">
        <f t="shared" si="73"/>
        <v>9.3260838563467612</v>
      </c>
      <c r="AQ112" s="10" t="s">
        <v>242</v>
      </c>
      <c r="AR112" s="10" t="s">
        <v>235</v>
      </c>
      <c r="AS112">
        <v>349.41</v>
      </c>
    </row>
    <row r="113" spans="1:45" ht="14">
      <c r="A113" s="7" t="s">
        <v>150</v>
      </c>
      <c r="B113" s="7" t="s">
        <v>57</v>
      </c>
      <c r="C113" s="4">
        <v>4.9455880135404602</v>
      </c>
      <c r="D113" s="4">
        <f t="shared" si="126"/>
        <v>88224.257812499782</v>
      </c>
      <c r="E113" s="13">
        <f t="shared" si="117"/>
        <v>69.256042382812325</v>
      </c>
      <c r="F113" s="13">
        <f t="shared" si="118"/>
        <v>80.417593132110937</v>
      </c>
      <c r="G113" s="13">
        <f t="shared" si="60"/>
        <v>7.0813393024472227</v>
      </c>
      <c r="H113" s="4">
        <v>4.93678175586669</v>
      </c>
      <c r="I113" s="9">
        <f t="shared" si="127"/>
        <v>86453.335937499593</v>
      </c>
      <c r="J113" s="13">
        <f t="shared" si="97"/>
        <v>67.865868710937178</v>
      </c>
      <c r="K113" s="13">
        <f t="shared" si="98"/>
        <v>79.33423638952145</v>
      </c>
      <c r="L113" s="13">
        <f t="shared" si="61"/>
        <v>6.9932767257095252</v>
      </c>
      <c r="M113" s="3">
        <v>-547</v>
      </c>
      <c r="N113" s="3">
        <v>-507</v>
      </c>
      <c r="O113" s="3">
        <f t="shared" ref="O113:O133" si="130">N113-M113</f>
        <v>40</v>
      </c>
      <c r="P113" s="13">
        <v>0.156</v>
      </c>
      <c r="Q113" s="13">
        <f t="shared" si="114"/>
        <v>198.72611464968153</v>
      </c>
      <c r="R113" s="13">
        <f t="shared" si="115"/>
        <v>67.088626341921696</v>
      </c>
      <c r="S113" s="13">
        <f t="shared" si="62"/>
        <v>4.8265374335489843</v>
      </c>
      <c r="T113" s="43">
        <v>35</v>
      </c>
      <c r="U113" s="43">
        <v>162</v>
      </c>
      <c r="V113" s="4">
        <v>37245</v>
      </c>
      <c r="W113" s="4">
        <v>22185</v>
      </c>
      <c r="X113" s="4">
        <v>25573</v>
      </c>
      <c r="Y113" s="4">
        <v>70109</v>
      </c>
      <c r="Z113" s="4">
        <v>83820</v>
      </c>
      <c r="AA113" s="4">
        <v>119439</v>
      </c>
      <c r="AB113" s="4">
        <v>105836</v>
      </c>
      <c r="AC113" s="4">
        <v>93623</v>
      </c>
      <c r="AD113" s="13">
        <f t="shared" si="65"/>
        <v>4.0865294250379902</v>
      </c>
      <c r="AE113" s="13">
        <f t="shared" si="66"/>
        <v>1.4850321989903716</v>
      </c>
      <c r="AF113" s="13">
        <f t="shared" si="67"/>
        <v>1.9666113737529798</v>
      </c>
      <c r="AG113" s="13">
        <f t="shared" si="68"/>
        <v>6.3037417150110926</v>
      </c>
      <c r="AH113" s="13">
        <f t="shared" si="69"/>
        <v>7.4026770993177538</v>
      </c>
      <c r="AI113" s="13">
        <f t="shared" si="70"/>
        <v>9.7102328460599487</v>
      </c>
      <c r="AJ113" s="13">
        <f t="shared" si="71"/>
        <v>8.8683637456537241</v>
      </c>
      <c r="AK113" s="15">
        <f t="shared" si="106"/>
        <v>73.494055000000003</v>
      </c>
      <c r="AL113" s="13">
        <f t="shared" si="128"/>
        <v>84.662956752080149</v>
      </c>
      <c r="AM113" s="13">
        <f t="shared" si="72"/>
        <v>8.1425835778485638</v>
      </c>
      <c r="AN113" s="17">
        <f t="shared" si="107"/>
        <v>72.005760416666661</v>
      </c>
      <c r="AO113" s="13">
        <f t="shared" si="129"/>
        <v>84.772051657325449</v>
      </c>
      <c r="AP113" s="13">
        <f t="shared" si="73"/>
        <v>8.1734910775950222</v>
      </c>
      <c r="AQ113" s="10" t="s">
        <v>242</v>
      </c>
      <c r="AR113" s="10" t="s">
        <v>235</v>
      </c>
      <c r="AS113">
        <v>349.41</v>
      </c>
    </row>
    <row r="114" spans="1:45" ht="13" customHeight="1">
      <c r="A114" s="7" t="s">
        <v>123</v>
      </c>
      <c r="B114" s="7" t="s">
        <v>58</v>
      </c>
      <c r="C114" s="4">
        <v>4.0791126399137196</v>
      </c>
      <c r="D114" s="4">
        <f t="shared" ref="D114:D116" si="131">POWER(10,C114)</f>
        <v>11998.1044921874</v>
      </c>
      <c r="E114" s="13">
        <f t="shared" si="117"/>
        <v>9.4185120263671092</v>
      </c>
      <c r="F114" s="13">
        <f t="shared" si="118"/>
        <v>-43.993020999847985</v>
      </c>
      <c r="G114" s="13">
        <f t="shared" si="60"/>
        <v>-1.5834144338201841</v>
      </c>
      <c r="H114" s="4">
        <v>4.0860082981513601</v>
      </c>
      <c r="I114" s="9">
        <f t="shared" ref="I114:I116" si="132">POWER(10,H114)</f>
        <v>12190.128906249896</v>
      </c>
      <c r="J114" s="13">
        <f t="shared" si="97"/>
        <v>9.5692511914061686</v>
      </c>
      <c r="K114" s="13">
        <f t="shared" si="98"/>
        <v>-46.563192035291067</v>
      </c>
      <c r="L114" s="13">
        <f t="shared" si="61"/>
        <v>-1.5144578514437761</v>
      </c>
      <c r="M114" s="3">
        <v>-517</v>
      </c>
      <c r="N114" s="3">
        <v>-503</v>
      </c>
      <c r="O114" s="3">
        <f t="shared" si="130"/>
        <v>14</v>
      </c>
      <c r="P114" s="13">
        <v>0.66400000000000003</v>
      </c>
      <c r="Q114" s="13">
        <f t="shared" si="114"/>
        <v>845.85987261146488</v>
      </c>
      <c r="R114" s="13">
        <f t="shared" si="115"/>
        <v>-40.084308390794774</v>
      </c>
      <c r="S114" s="13">
        <f t="shared" si="62"/>
        <v>-1.4638973765865737</v>
      </c>
      <c r="T114" s="43">
        <v>26</v>
      </c>
      <c r="U114" s="43">
        <v>154</v>
      </c>
      <c r="V114" s="4">
        <v>7189</v>
      </c>
      <c r="W114" s="4">
        <v>7599</v>
      </c>
      <c r="X114" s="4">
        <v>12302</v>
      </c>
      <c r="Y114" s="4">
        <v>8586</v>
      </c>
      <c r="Z114" s="4">
        <v>8240</v>
      </c>
      <c r="AA114" s="4">
        <v>11090</v>
      </c>
      <c r="AB114" s="4">
        <v>8671</v>
      </c>
      <c r="AC114" s="4">
        <v>9149</v>
      </c>
      <c r="AD114" s="13">
        <f t="shared" si="65"/>
        <v>-3.0574655249491149</v>
      </c>
      <c r="AE114" s="13">
        <f t="shared" si="66"/>
        <v>-3.1679976864332611</v>
      </c>
      <c r="AF114" s="13">
        <f t="shared" si="67"/>
        <v>-1.2114481857032042</v>
      </c>
      <c r="AG114" s="13">
        <f t="shared" si="68"/>
        <v>-2.8160871695046987</v>
      </c>
      <c r="AH114" s="13">
        <f t="shared" si="69"/>
        <v>-2.6715273486893438</v>
      </c>
      <c r="AI114" s="13">
        <f t="shared" si="70"/>
        <v>-0.6119132785749416</v>
      </c>
      <c r="AJ114" s="13">
        <f t="shared" si="71"/>
        <v>-1.9972785683480077</v>
      </c>
      <c r="AK114" s="15">
        <f t="shared" si="106"/>
        <v>7.1819649999999999</v>
      </c>
      <c r="AL114" s="13">
        <f t="shared" si="128"/>
        <v>-56.946114329434906</v>
      </c>
      <c r="AM114" s="13">
        <f t="shared" si="72"/>
        <v>-1.9575056791006822</v>
      </c>
      <c r="AN114" s="17">
        <f t="shared" si="107"/>
        <v>7.1979103125000004</v>
      </c>
      <c r="AO114" s="13">
        <f t="shared" si="129"/>
        <v>-52.335879775523388</v>
      </c>
      <c r="AP114" s="13">
        <f t="shared" si="73"/>
        <v>-1.828117024051334</v>
      </c>
      <c r="AQ114" s="10" t="s">
        <v>239</v>
      </c>
      <c r="AR114" s="10" t="s">
        <v>235</v>
      </c>
      <c r="AS114">
        <v>137.13999999999999</v>
      </c>
    </row>
    <row r="115" spans="1:45" ht="14">
      <c r="A115" s="7" t="s">
        <v>123</v>
      </c>
      <c r="B115" s="7" t="s">
        <v>58</v>
      </c>
      <c r="C115" s="4">
        <v>4.0878886116049404</v>
      </c>
      <c r="D115" s="4">
        <f t="shared" si="131"/>
        <v>12243.021484374973</v>
      </c>
      <c r="E115" s="13">
        <f t="shared" si="117"/>
        <v>9.6107718652343532</v>
      </c>
      <c r="F115" s="13">
        <f t="shared" si="118"/>
        <v>-41.112495335142341</v>
      </c>
      <c r="G115" s="13">
        <f t="shared" si="60"/>
        <v>-1.4956547169079715</v>
      </c>
      <c r="H115" s="4">
        <v>4.0996367439267596</v>
      </c>
      <c r="I115" s="9">
        <f t="shared" si="132"/>
        <v>12578.728515624818</v>
      </c>
      <c r="J115" s="13">
        <f t="shared" si="97"/>
        <v>9.8743018847654813</v>
      </c>
      <c r="K115" s="13">
        <f t="shared" si="98"/>
        <v>-42.035357675648989</v>
      </c>
      <c r="L115" s="13">
        <f t="shared" si="61"/>
        <v>-1.3781733936897851</v>
      </c>
      <c r="M115" s="3">
        <v>-529</v>
      </c>
      <c r="N115" s="3">
        <v>-516</v>
      </c>
      <c r="O115" s="3">
        <f t="shared" si="130"/>
        <v>13</v>
      </c>
      <c r="P115" s="13">
        <v>0.58699999999999997</v>
      </c>
      <c r="Q115" s="13">
        <f t="shared" si="114"/>
        <v>747.77070063694259</v>
      </c>
      <c r="R115" s="13">
        <f t="shared" si="115"/>
        <v>-23.839591905717672</v>
      </c>
      <c r="S115" s="13">
        <f t="shared" si="62"/>
        <v>-0.92859759538254383</v>
      </c>
      <c r="T115" s="43">
        <v>24</v>
      </c>
      <c r="U115" s="43">
        <v>151</v>
      </c>
      <c r="V115" s="4">
        <v>10230</v>
      </c>
      <c r="W115" s="4">
        <v>10340</v>
      </c>
      <c r="X115" s="4">
        <v>9741</v>
      </c>
      <c r="Y115" s="4">
        <v>9487</v>
      </c>
      <c r="Z115" s="4">
        <v>10285</v>
      </c>
      <c r="AA115" s="4">
        <v>11875</v>
      </c>
      <c r="AB115" s="4">
        <v>11071</v>
      </c>
      <c r="AC115" s="4">
        <v>13573</v>
      </c>
      <c r="AD115" s="13">
        <f t="shared" si="65"/>
        <v>-1.5253940239428645</v>
      </c>
      <c r="AE115" s="13">
        <f t="shared" si="66"/>
        <v>-1.8303567439561279</v>
      </c>
      <c r="AF115" s="13">
        <f t="shared" si="67"/>
        <v>-2.2251699791238542</v>
      </c>
      <c r="AG115" s="13">
        <f t="shared" si="68"/>
        <v>-2.382707005132076</v>
      </c>
      <c r="AH115" s="13">
        <f t="shared" si="69"/>
        <v>-1.708756505353074</v>
      </c>
      <c r="AI115" s="13">
        <f t="shared" si="70"/>
        <v>-0.31489255709750008</v>
      </c>
      <c r="AJ115" s="13">
        <f t="shared" si="71"/>
        <v>-0.93610192290822902</v>
      </c>
      <c r="AK115" s="15">
        <f t="shared" si="106"/>
        <v>10.654805</v>
      </c>
      <c r="AL115" s="13">
        <f t="shared" si="128"/>
        <v>-5.790908421130192</v>
      </c>
      <c r="AM115" s="13">
        <f t="shared" si="72"/>
        <v>-0.24448346411907135</v>
      </c>
      <c r="AN115" s="17">
        <f t="shared" si="107"/>
        <v>8.6253510416666668</v>
      </c>
      <c r="AO115" s="13">
        <f t="shared" si="129"/>
        <v>-27.1252607230841</v>
      </c>
      <c r="AP115" s="13">
        <f t="shared" si="73"/>
        <v>-1.0424135397289913</v>
      </c>
      <c r="AQ115" s="10" t="s">
        <v>239</v>
      </c>
      <c r="AR115" s="10" t="s">
        <v>235</v>
      </c>
      <c r="AS115">
        <v>137.13999999999999</v>
      </c>
    </row>
    <row r="116" spans="1:45" ht="14">
      <c r="A116" s="7" t="s">
        <v>123</v>
      </c>
      <c r="B116" s="7" t="s">
        <v>58</v>
      </c>
      <c r="C116" s="4">
        <v>4.3898497743944596</v>
      </c>
      <c r="D116" s="4">
        <f t="shared" si="131"/>
        <v>24538.599609375015</v>
      </c>
      <c r="E116" s="13">
        <f t="shared" si="117"/>
        <v>19.262800693359384</v>
      </c>
      <c r="F116" s="13">
        <f t="shared" si="118"/>
        <v>29.594869324088823</v>
      </c>
      <c r="G116" s="13">
        <f t="shared" si="60"/>
        <v>1.5239569109872138</v>
      </c>
      <c r="H116" s="4">
        <v>4.5045764869816596</v>
      </c>
      <c r="I116" s="9">
        <f t="shared" si="132"/>
        <v>31957.771484374945</v>
      </c>
      <c r="J116" s="13">
        <f t="shared" si="97"/>
        <v>25.086850615234333</v>
      </c>
      <c r="K116" s="13">
        <f t="shared" si="98"/>
        <v>44.094218062257973</v>
      </c>
      <c r="L116" s="13">
        <f t="shared" si="61"/>
        <v>2.6712240368592162</v>
      </c>
      <c r="M116" s="3">
        <v>-554</v>
      </c>
      <c r="N116" s="3">
        <v>-499</v>
      </c>
      <c r="O116" s="3">
        <f t="shared" si="130"/>
        <v>55</v>
      </c>
      <c r="P116" s="13">
        <v>0.41299999999999998</v>
      </c>
      <c r="Q116" s="13">
        <f t="shared" si="114"/>
        <v>526.11464968152859</v>
      </c>
      <c r="R116" s="13">
        <f t="shared" si="115"/>
        <v>12.869247943677342</v>
      </c>
      <c r="S116" s="13">
        <f t="shared" si="62"/>
        <v>0.59828290052959088</v>
      </c>
      <c r="T116" s="43">
        <v>37</v>
      </c>
      <c r="U116" s="43">
        <v>145</v>
      </c>
      <c r="V116" s="4">
        <v>6487</v>
      </c>
      <c r="W116" s="4">
        <v>14923</v>
      </c>
      <c r="X116" s="4">
        <v>27040</v>
      </c>
      <c r="Y116" s="4">
        <v>30603</v>
      </c>
      <c r="Z116" s="4">
        <v>27319</v>
      </c>
      <c r="AA116" s="4">
        <v>27168</v>
      </c>
      <c r="AB116" s="4">
        <v>27129</v>
      </c>
      <c r="AC116" s="4">
        <v>22508</v>
      </c>
      <c r="AD116" s="13">
        <f t="shared" si="65"/>
        <v>-3.5037113817621988</v>
      </c>
      <c r="AE116" s="13">
        <f t="shared" si="66"/>
        <v>-0.23700074167266924</v>
      </c>
      <c r="AF116" s="13">
        <f t="shared" si="67"/>
        <v>2.2088614601154895</v>
      </c>
      <c r="AG116" s="13">
        <f t="shared" si="68"/>
        <v>2.7036440119105776</v>
      </c>
      <c r="AH116" s="13">
        <f t="shared" si="69"/>
        <v>2.5338485157556829</v>
      </c>
      <c r="AI116" s="13">
        <f t="shared" si="70"/>
        <v>3.2793479455720442</v>
      </c>
      <c r="AJ116" s="13">
        <f t="shared" si="71"/>
        <v>2.9563674250267042</v>
      </c>
      <c r="AK116" s="15">
        <f t="shared" si="106"/>
        <v>17.668780000000002</v>
      </c>
      <c r="AL116" s="13">
        <f t="shared" si="128"/>
        <v>36.204904922694162</v>
      </c>
      <c r="AM116" s="13">
        <f t="shared" si="72"/>
        <v>1.9521271097708579</v>
      </c>
      <c r="AN116" s="17">
        <f t="shared" si="107"/>
        <v>20.190903229166668</v>
      </c>
      <c r="AO116" s="13">
        <f t="shared" si="129"/>
        <v>45.693365593667131</v>
      </c>
      <c r="AP116" s="13">
        <f t="shared" si="73"/>
        <v>2.6513761395389954</v>
      </c>
      <c r="AQ116" s="10" t="s">
        <v>239</v>
      </c>
      <c r="AR116" s="10" t="s">
        <v>235</v>
      </c>
      <c r="AS116">
        <v>137.13999999999999</v>
      </c>
    </row>
    <row r="117" spans="1:45" ht="13" customHeight="1">
      <c r="A117" s="7" t="s">
        <v>124</v>
      </c>
      <c r="B117" s="7" t="s">
        <v>59</v>
      </c>
      <c r="C117" s="4">
        <v>5.6198146740383397</v>
      </c>
      <c r="D117" s="4">
        <f t="shared" ref="D117:D119" si="133">POWER(10,C117)</f>
        <v>416691.53124999214</v>
      </c>
      <c r="E117" s="13">
        <f t="shared" si="117"/>
        <v>327.10285203124386</v>
      </c>
      <c r="F117" s="13">
        <f t="shared" si="118"/>
        <v>95.853903469265816</v>
      </c>
      <c r="G117" s="13">
        <f t="shared" si="60"/>
        <v>13.823605907426018</v>
      </c>
      <c r="H117" s="4">
        <v>5.2974315547911504</v>
      </c>
      <c r="I117" s="9">
        <f t="shared" ref="I117:I119" si="134">POWER(10,H117)</f>
        <v>198349.70312499651</v>
      </c>
      <c r="J117" s="13">
        <f t="shared" si="97"/>
        <v>155.70451695312227</v>
      </c>
      <c r="K117" s="13">
        <f t="shared" si="98"/>
        <v>90.992554182469547</v>
      </c>
      <c r="L117" s="13">
        <f t="shared" si="61"/>
        <v>10.599774714954126</v>
      </c>
      <c r="M117" s="3">
        <v>-509</v>
      </c>
      <c r="N117" s="3">
        <v>-485</v>
      </c>
      <c r="O117" s="3">
        <f t="shared" si="130"/>
        <v>24</v>
      </c>
      <c r="P117" s="13">
        <v>6.5000000000000002E-2</v>
      </c>
      <c r="Q117" s="13">
        <f t="shared" si="114"/>
        <v>82.802547770700627</v>
      </c>
      <c r="R117" s="13">
        <f t="shared" si="115"/>
        <v>86.286927642467376</v>
      </c>
      <c r="S117" s="13">
        <f t="shared" si="62"/>
        <v>8.6286498506650453</v>
      </c>
      <c r="T117" s="43">
        <v>28</v>
      </c>
      <c r="U117" s="43">
        <v>140</v>
      </c>
      <c r="V117" s="4">
        <v>147968</v>
      </c>
      <c r="W117" s="4">
        <v>103603</v>
      </c>
      <c r="X117" s="4">
        <v>151103</v>
      </c>
      <c r="Y117" s="4">
        <v>187102</v>
      </c>
      <c r="Z117" s="4">
        <v>325807</v>
      </c>
      <c r="AA117" s="4">
        <v>378762</v>
      </c>
      <c r="AB117" s="4">
        <v>339089</v>
      </c>
      <c r="AC117" s="4">
        <v>396256</v>
      </c>
      <c r="AD117" s="13">
        <f t="shared" si="65"/>
        <v>10.077527676259322</v>
      </c>
      <c r="AE117" s="13">
        <f t="shared" si="66"/>
        <v>8.178161181686308</v>
      </c>
      <c r="AF117" s="13">
        <f t="shared" si="67"/>
        <v>9.6815254565219959</v>
      </c>
      <c r="AG117" s="13">
        <f t="shared" si="68"/>
        <v>10.566788287595216</v>
      </c>
      <c r="AH117" s="13">
        <f t="shared" si="69"/>
        <v>13.298804643724168</v>
      </c>
      <c r="AI117" s="13">
        <f t="shared" si="70"/>
        <v>14.722435271109035</v>
      </c>
      <c r="AJ117" s="13">
        <f t="shared" si="71"/>
        <v>13.925166584958166</v>
      </c>
      <c r="AK117" s="15">
        <f t="shared" si="106"/>
        <v>311.06096000000002</v>
      </c>
      <c r="AL117" s="13">
        <f t="shared" si="128"/>
        <v>96.376332471937332</v>
      </c>
      <c r="AM117" s="13">
        <f t="shared" si="72"/>
        <v>14.408516557390165</v>
      </c>
      <c r="AN117" s="17">
        <f t="shared" si="107"/>
        <v>248.64897078125</v>
      </c>
      <c r="AO117" s="13">
        <f t="shared" si="129"/>
        <v>95.59016875656144</v>
      </c>
      <c r="AP117" s="13">
        <f t="shared" si="73"/>
        <v>13.555685325674265</v>
      </c>
      <c r="AQ117" s="10" t="s">
        <v>238</v>
      </c>
      <c r="AR117" s="10" t="s">
        <v>235</v>
      </c>
      <c r="AS117">
        <v>112.15</v>
      </c>
    </row>
    <row r="118" spans="1:45" ht="14">
      <c r="A118" s="7" t="s">
        <v>124</v>
      </c>
      <c r="B118" s="7" t="s">
        <v>59</v>
      </c>
      <c r="C118" s="4">
        <v>5.5379947442542496</v>
      </c>
      <c r="D118" s="4">
        <f t="shared" si="133"/>
        <v>345139.56249999849</v>
      </c>
      <c r="E118" s="13">
        <f t="shared" si="117"/>
        <v>270.93455656249881</v>
      </c>
      <c r="F118" s="13">
        <f t="shared" si="118"/>
        <v>94.994363150987894</v>
      </c>
      <c r="G118" s="13">
        <f t="shared" si="60"/>
        <v>13.005406609585119</v>
      </c>
      <c r="H118" s="4">
        <v>5.3352567233497696</v>
      </c>
      <c r="I118" s="9">
        <f t="shared" si="134"/>
        <v>216399.73437500035</v>
      </c>
      <c r="J118" s="13">
        <f t="shared" si="97"/>
        <v>169.87379148437529</v>
      </c>
      <c r="K118" s="13">
        <f t="shared" si="98"/>
        <v>91.74387062451008</v>
      </c>
      <c r="L118" s="13">
        <f t="shared" si="61"/>
        <v>10.978026400540323</v>
      </c>
      <c r="M118" s="3">
        <v>-505</v>
      </c>
      <c r="N118" s="3">
        <v>-485</v>
      </c>
      <c r="O118" s="3">
        <f t="shared" si="130"/>
        <v>20</v>
      </c>
      <c r="P118" s="13">
        <v>6.9000000000000006E-2</v>
      </c>
      <c r="Q118" s="13">
        <f t="shared" si="114"/>
        <v>87.898089171974519</v>
      </c>
      <c r="R118" s="13">
        <f t="shared" si="115"/>
        <v>85.44304626661922</v>
      </c>
      <c r="S118" s="13">
        <f t="shared" si="62"/>
        <v>8.3692925097210473</v>
      </c>
      <c r="T118" s="43">
        <v>28</v>
      </c>
      <c r="U118" s="43">
        <v>145</v>
      </c>
      <c r="V118" s="4">
        <v>181422</v>
      </c>
      <c r="W118" s="4">
        <v>174585</v>
      </c>
      <c r="X118" s="4">
        <v>222923</v>
      </c>
      <c r="Y118" s="4">
        <v>227403</v>
      </c>
      <c r="Z118" s="4">
        <v>332021</v>
      </c>
      <c r="AA118" s="4">
        <v>376348</v>
      </c>
      <c r="AB118" s="4">
        <v>330529</v>
      </c>
      <c r="AC118" s="4">
        <v>457565</v>
      </c>
      <c r="AD118" s="13">
        <f t="shared" si="65"/>
        <v>10.962749141990532</v>
      </c>
      <c r="AE118" s="13">
        <f t="shared" si="66"/>
        <v>10.444507140907366</v>
      </c>
      <c r="AF118" s="13">
        <f t="shared" si="67"/>
        <v>11.370343377101742</v>
      </c>
      <c r="AG118" s="13">
        <f t="shared" si="68"/>
        <v>11.413965886986862</v>
      </c>
      <c r="AH118" s="13">
        <f t="shared" si="69"/>
        <v>13.380856067033253</v>
      </c>
      <c r="AI118" s="13">
        <f t="shared" si="70"/>
        <v>14.694667384288117</v>
      </c>
      <c r="AJ118" s="13">
        <f t="shared" si="71"/>
        <v>13.814125266256458</v>
      </c>
      <c r="AK118" s="15">
        <f t="shared" si="106"/>
        <v>359.18852500000003</v>
      </c>
      <c r="AL118" s="13">
        <f t="shared" si="128"/>
        <v>96.86186662004306</v>
      </c>
      <c r="AM118" s="13">
        <f t="shared" si="72"/>
        <v>15.033286015558815</v>
      </c>
      <c r="AN118" s="17">
        <f t="shared" si="107"/>
        <v>260.42619494791666</v>
      </c>
      <c r="AO118" s="13">
        <f t="shared" si="129"/>
        <v>95.789594052859044</v>
      </c>
      <c r="AP118" s="13">
        <f t="shared" si="73"/>
        <v>13.756665322151289</v>
      </c>
      <c r="AQ118" s="10" t="s">
        <v>238</v>
      </c>
      <c r="AR118" s="10" t="s">
        <v>235</v>
      </c>
      <c r="AS118">
        <v>112.15</v>
      </c>
    </row>
    <row r="119" spans="1:45" ht="14">
      <c r="A119" s="7" t="s">
        <v>124</v>
      </c>
      <c r="B119" s="7" t="s">
        <v>59</v>
      </c>
      <c r="C119" s="4">
        <v>5.5823016194844399</v>
      </c>
      <c r="D119" s="4">
        <f t="shared" si="133"/>
        <v>382209.62499999604</v>
      </c>
      <c r="E119" s="13">
        <f t="shared" si="117"/>
        <v>300.03455562499687</v>
      </c>
      <c r="F119" s="13">
        <f t="shared" si="118"/>
        <v>95.479853988235035</v>
      </c>
      <c r="G119" s="13">
        <f t="shared" ref="G119:G186" si="135">10*LOG10(E119/13.562)</f>
        <v>13.448475361887022</v>
      </c>
      <c r="H119" s="4">
        <v>5.2718375059759897</v>
      </c>
      <c r="I119" s="9">
        <f t="shared" si="134"/>
        <v>186998.23437499884</v>
      </c>
      <c r="J119" s="13">
        <f t="shared" si="97"/>
        <v>146.7936139843741</v>
      </c>
      <c r="K119" s="13">
        <f t="shared" si="98"/>
        <v>90.445769663050228</v>
      </c>
      <c r="L119" s="13">
        <f t="shared" ref="L119:L186" si="136">10*LOG10(J119/13.562)</f>
        <v>10.343834226802519</v>
      </c>
      <c r="M119" s="3">
        <v>-521</v>
      </c>
      <c r="N119" s="3">
        <v>-504</v>
      </c>
      <c r="O119" s="3">
        <f t="shared" si="130"/>
        <v>17</v>
      </c>
      <c r="P119" s="13">
        <v>6.9000000000000006E-2</v>
      </c>
      <c r="Q119" s="13">
        <f t="shared" si="114"/>
        <v>87.898089171974519</v>
      </c>
      <c r="R119" s="13">
        <f t="shared" si="115"/>
        <v>85.44304626661922</v>
      </c>
      <c r="S119" s="13">
        <f t="shared" ref="S119:S133" si="137">10*LOG10(603.8216561/Q119)</f>
        <v>8.3692925097210473</v>
      </c>
      <c r="T119" s="43">
        <v>36</v>
      </c>
      <c r="U119" s="43">
        <v>138</v>
      </c>
      <c r="V119" s="4">
        <v>119285</v>
      </c>
      <c r="W119" s="4">
        <v>137820</v>
      </c>
      <c r="X119" s="4">
        <v>152063</v>
      </c>
      <c r="Y119" s="4">
        <v>248247</v>
      </c>
      <c r="Z119" s="4">
        <v>372539</v>
      </c>
      <c r="AA119" s="4">
        <v>396834</v>
      </c>
      <c r="AB119" s="4">
        <v>302344</v>
      </c>
      <c r="AC119" s="4">
        <v>352709</v>
      </c>
      <c r="AD119" s="13">
        <f t="shared" si="65"/>
        <v>9.1417079878935255</v>
      </c>
      <c r="AE119" s="13">
        <f t="shared" si="66"/>
        <v>9.4175603242513315</v>
      </c>
      <c r="AF119" s="13">
        <f t="shared" si="67"/>
        <v>9.7090301302758952</v>
      </c>
      <c r="AG119" s="13">
        <f t="shared" si="68"/>
        <v>11.794844077701326</v>
      </c>
      <c r="AH119" s="13">
        <f t="shared" si="69"/>
        <v>13.880917978959683</v>
      </c>
      <c r="AI119" s="13">
        <f t="shared" si="70"/>
        <v>14.924860006141067</v>
      </c>
      <c r="AJ119" s="13">
        <f t="shared" si="71"/>
        <v>13.427043114192562</v>
      </c>
      <c r="AK119" s="15">
        <f t="shared" ref="AK119:AK150" si="138">AC119*0.785/1000</f>
        <v>276.87656500000003</v>
      </c>
      <c r="AL119" s="13">
        <f t="shared" si="128"/>
        <v>95.928938586767003</v>
      </c>
      <c r="AM119" s="13">
        <f t="shared" si="72"/>
        <v>13.902923461032742</v>
      </c>
      <c r="AN119" s="17">
        <f t="shared" ref="AN119:AN150" si="139">(0.785/24000)*(AVERAGE(V119:W119)*0.5+AVERAGE(W119:X119)*1+AVERAGE(X119:Y119)*1+AVERAGE(Y119:Z119)*3+AVERAGE(Z119:AA119)*6+AVERAGE(AA119:AB119)*6+AVERAGE(AB119:AC119)*6)</f>
        <v>252.22585598958332</v>
      </c>
      <c r="AO119" s="13">
        <f t="shared" si="129"/>
        <v>95.652705803304784</v>
      </c>
      <c r="AP119" s="13">
        <f t="shared" si="73"/>
        <v>13.617714712387091</v>
      </c>
      <c r="AQ119" s="10" t="s">
        <v>238</v>
      </c>
      <c r="AR119" s="10" t="s">
        <v>235</v>
      </c>
      <c r="AS119">
        <v>112.15</v>
      </c>
    </row>
    <row r="120" spans="1:45" ht="13" customHeight="1">
      <c r="A120" s="7" t="s">
        <v>125</v>
      </c>
      <c r="B120" s="7" t="s">
        <v>60</v>
      </c>
      <c r="C120" s="4">
        <v>3.9398565129871002</v>
      </c>
      <c r="D120" s="4">
        <f t="shared" ref="D120:D122" si="140">POWER(10,C120)</f>
        <v>8706.758789062349</v>
      </c>
      <c r="E120" s="13">
        <f t="shared" si="117"/>
        <v>6.8348056494139442</v>
      </c>
      <c r="F120" s="13">
        <f t="shared" si="118"/>
        <v>-98.425539739566474</v>
      </c>
      <c r="G120" s="13">
        <f t="shared" si="135"/>
        <v>-2.975975703086374</v>
      </c>
      <c r="H120" s="4">
        <v>3.76104962591576</v>
      </c>
      <c r="I120" s="9">
        <f t="shared" ref="I120:I122" si="141">POWER(10,H120)</f>
        <v>5768.3237304687673</v>
      </c>
      <c r="J120" s="13">
        <f t="shared" si="97"/>
        <v>4.5281341284179826</v>
      </c>
      <c r="K120" s="13">
        <f t="shared" si="98"/>
        <v>-209.73022446444153</v>
      </c>
      <c r="L120" s="13">
        <f t="shared" si="136"/>
        <v>-4.7640445737997759</v>
      </c>
      <c r="M120" s="3">
        <v>-490</v>
      </c>
      <c r="N120" s="3">
        <v>-490</v>
      </c>
      <c r="O120" s="3">
        <f t="shared" si="130"/>
        <v>0</v>
      </c>
      <c r="P120" s="13">
        <v>2.3820000000000001</v>
      </c>
      <c r="Q120" s="13">
        <f t="shared" si="114"/>
        <v>3034.3949044585988</v>
      </c>
      <c r="R120" s="13">
        <f t="shared" si="115"/>
        <v>-402.53135931758015</v>
      </c>
      <c r="S120" s="13">
        <f t="shared" si="137"/>
        <v>-7.0116341543739864</v>
      </c>
      <c r="T120" s="43">
        <v>10</v>
      </c>
      <c r="U120" s="43">
        <v>203</v>
      </c>
      <c r="V120" s="4">
        <v>9369</v>
      </c>
      <c r="W120" s="4">
        <v>4452</v>
      </c>
      <c r="X120" s="4">
        <v>4668</v>
      </c>
      <c r="Y120" s="4">
        <v>5334</v>
      </c>
      <c r="Z120" s="4">
        <v>5846</v>
      </c>
      <c r="AA120" s="4">
        <v>7445</v>
      </c>
      <c r="AB120" s="4">
        <v>8483</v>
      </c>
      <c r="AC120" s="4">
        <v>12168</v>
      </c>
      <c r="AD120" s="13">
        <f t="shared" ref="AD120:AD187" si="142">10*LOG10(V120/14535)</f>
        <v>-1.9072179715658557</v>
      </c>
      <c r="AE120" s="13">
        <f t="shared" ref="AE120:AE187" si="143">10*LOG10(W120/15760)</f>
        <v>-5.4900105749086583</v>
      </c>
      <c r="AF120" s="13">
        <f t="shared" ref="AF120:AF187" si="144">10*LOG10(X120/16260)</f>
        <v>-5.4198969388471685</v>
      </c>
      <c r="AG120" s="13">
        <f t="shared" ref="AG120:AG187" si="145">10*LOG10(Y120/16421)</f>
        <v>-4.8834658974003258</v>
      </c>
      <c r="AH120" s="13">
        <f t="shared" ref="AH120:AH187" si="146">10*LOG10(Z120/15243.33333)</f>
        <v>-4.1622113554463258</v>
      </c>
      <c r="AI120" s="13">
        <f t="shared" ref="AI120:AI187" si="147">10*LOG10(AA120/12768)</f>
        <v>-2.3425817191845923</v>
      </c>
      <c r="AJ120" s="13">
        <f t="shared" ref="AJ120:AJ187" si="148">10*LOG10(AB120/13734)</f>
        <v>-2.0924757605652271</v>
      </c>
      <c r="AK120" s="15">
        <f t="shared" si="138"/>
        <v>9.5518800000000006</v>
      </c>
      <c r="AL120" s="13">
        <f t="shared" si="128"/>
        <v>-18.006245890861262</v>
      </c>
      <c r="AM120" s="13">
        <f t="shared" ref="AM120:AM187" si="149">10*LOG10(AK120/11.271815)</f>
        <v>-0.71904994459927307</v>
      </c>
      <c r="AN120" s="17">
        <f t="shared" si="139"/>
        <v>5.8677523437500003</v>
      </c>
      <c r="AO120" s="13">
        <f t="shared" si="129"/>
        <v>-86.868827408493161</v>
      </c>
      <c r="AP120" s="13">
        <f t="shared" ref="AP120:AP164" si="150">10*LOG10(AN120/10.96523979)</f>
        <v>-2.7154635776880105</v>
      </c>
      <c r="AQ120" s="10" t="s">
        <v>239</v>
      </c>
      <c r="AR120" s="10" t="s">
        <v>235</v>
      </c>
      <c r="AS120">
        <v>113.11</v>
      </c>
    </row>
    <row r="121" spans="1:45" ht="14">
      <c r="A121" s="7" t="s">
        <v>125</v>
      </c>
      <c r="B121" s="7" t="s">
        <v>60</v>
      </c>
      <c r="C121" s="4">
        <v>3.9650320216012398</v>
      </c>
      <c r="D121" s="4">
        <f t="shared" si="140"/>
        <v>9226.3945312498381</v>
      </c>
      <c r="E121" s="13">
        <f t="shared" si="117"/>
        <v>7.2427197070311227</v>
      </c>
      <c r="F121" s="13">
        <f t="shared" si="118"/>
        <v>-87.250101461667981</v>
      </c>
      <c r="G121" s="13">
        <f t="shared" si="135"/>
        <v>-2.724220616944979</v>
      </c>
      <c r="H121" s="4">
        <v>3.71248861463895</v>
      </c>
      <c r="I121" s="9">
        <f t="shared" si="141"/>
        <v>5158.0864257811845</v>
      </c>
      <c r="J121" s="13">
        <f t="shared" si="97"/>
        <v>4.0490978442382302</v>
      </c>
      <c r="K121" s="13">
        <f t="shared" si="98"/>
        <v>-246.37345254467587</v>
      </c>
      <c r="L121" s="13">
        <f t="shared" si="136"/>
        <v>-5.2496546865678759</v>
      </c>
      <c r="M121" s="3">
        <v>-491</v>
      </c>
      <c r="N121" s="3">
        <v>-491</v>
      </c>
      <c r="O121" s="3">
        <f t="shared" si="130"/>
        <v>0</v>
      </c>
      <c r="P121" s="13">
        <v>2.214</v>
      </c>
      <c r="Q121" s="13">
        <f t="shared" si="114"/>
        <v>2820.3821656050955</v>
      </c>
      <c r="R121" s="13">
        <f t="shared" si="115"/>
        <v>-367.08834153195733</v>
      </c>
      <c r="S121" s="13">
        <f t="shared" si="137"/>
        <v>-6.6939927483334394</v>
      </c>
      <c r="T121" s="43">
        <v>24</v>
      </c>
      <c r="U121" s="43">
        <v>196</v>
      </c>
      <c r="V121" s="4">
        <v>5499</v>
      </c>
      <c r="W121" s="4">
        <v>4020</v>
      </c>
      <c r="X121" s="4">
        <v>4267</v>
      </c>
      <c r="Y121" s="4">
        <v>4862</v>
      </c>
      <c r="Z121" s="4">
        <v>5402</v>
      </c>
      <c r="AA121" s="4">
        <v>5472</v>
      </c>
      <c r="AB121" s="4">
        <v>6303</v>
      </c>
      <c r="AC121" s="4">
        <v>5249</v>
      </c>
      <c r="AD121" s="13">
        <f t="shared" si="142"/>
        <v>-4.2213131642456752</v>
      </c>
      <c r="AE121" s="13">
        <f t="shared" si="143"/>
        <v>-5.9333016006906645</v>
      </c>
      <c r="AF121" s="13">
        <f t="shared" si="144"/>
        <v>-5.8099789839873726</v>
      </c>
      <c r="AG121" s="13">
        <f t="shared" si="145"/>
        <v>-5.2858464658657294</v>
      </c>
      <c r="AH121" s="13">
        <f t="shared" si="146"/>
        <v>-4.5052536671461807</v>
      </c>
      <c r="AI121" s="13">
        <f t="shared" si="147"/>
        <v>-3.6797678529459441</v>
      </c>
      <c r="AJ121" s="13">
        <f t="shared" si="148"/>
        <v>-3.3824973593257153</v>
      </c>
      <c r="AK121" s="15">
        <f t="shared" si="138"/>
        <v>4.1204650000000003</v>
      </c>
      <c r="AL121" s="13">
        <f t="shared" si="128"/>
        <v>-173.55686797485234</v>
      </c>
      <c r="AM121" s="13">
        <f t="shared" si="149"/>
        <v>-4.3704762273672868</v>
      </c>
      <c r="AN121" s="17">
        <f t="shared" si="139"/>
        <v>4.2222124479166663</v>
      </c>
      <c r="AO121" s="13">
        <f t="shared" si="129"/>
        <v>-159.69796961330962</v>
      </c>
      <c r="AP121" s="13">
        <f t="shared" si="150"/>
        <v>-4.1447805155484545</v>
      </c>
      <c r="AQ121" s="10" t="s">
        <v>239</v>
      </c>
      <c r="AR121" s="10" t="s">
        <v>235</v>
      </c>
      <c r="AS121">
        <v>113.11</v>
      </c>
    </row>
    <row r="122" spans="1:45" ht="14">
      <c r="A122" s="7" t="s">
        <v>125</v>
      </c>
      <c r="B122" s="7" t="s">
        <v>60</v>
      </c>
      <c r="C122" s="4">
        <v>4.0207800163833802</v>
      </c>
      <c r="D122" s="4">
        <f t="shared" si="140"/>
        <v>10490.109374999802</v>
      </c>
      <c r="E122" s="13">
        <f t="shared" si="117"/>
        <v>8.2347358593748456</v>
      </c>
      <c r="F122" s="13">
        <f t="shared" si="118"/>
        <v>-64.692592835996351</v>
      </c>
      <c r="G122" s="13">
        <f t="shared" si="135"/>
        <v>-2.1667406691235787</v>
      </c>
      <c r="H122" s="4">
        <v>3.7523697560908902</v>
      </c>
      <c r="I122" s="9">
        <f t="shared" si="141"/>
        <v>5654.1816406249709</v>
      </c>
      <c r="J122" s="13">
        <f t="shared" si="97"/>
        <v>4.4385325878906023</v>
      </c>
      <c r="K122" s="13">
        <f t="shared" si="98"/>
        <v>-215.98281013557533</v>
      </c>
      <c r="L122" s="13">
        <f t="shared" si="136"/>
        <v>-4.8508432720484764</v>
      </c>
      <c r="M122" s="3">
        <v>-489</v>
      </c>
      <c r="N122" s="3">
        <v>-489</v>
      </c>
      <c r="O122" s="3">
        <f t="shared" si="130"/>
        <v>0</v>
      </c>
      <c r="P122" s="13">
        <v>2.302</v>
      </c>
      <c r="Q122" s="13">
        <f t="shared" si="114"/>
        <v>2932.4840764331211</v>
      </c>
      <c r="R122" s="13">
        <f t="shared" si="115"/>
        <v>-385.65373180061692</v>
      </c>
      <c r="S122" s="13">
        <f t="shared" si="137"/>
        <v>-6.8632697758441292</v>
      </c>
      <c r="T122" s="43">
        <v>24</v>
      </c>
      <c r="U122" s="43">
        <v>223</v>
      </c>
      <c r="V122" s="4">
        <v>5753</v>
      </c>
      <c r="W122" s="4">
        <v>5413</v>
      </c>
      <c r="X122" s="4">
        <v>4724</v>
      </c>
      <c r="Y122" s="4">
        <v>5306</v>
      </c>
      <c r="Z122" s="4">
        <v>7603</v>
      </c>
      <c r="AA122" s="4">
        <v>7381</v>
      </c>
      <c r="AB122" s="4">
        <v>6479</v>
      </c>
      <c r="AC122" s="4">
        <v>13198</v>
      </c>
      <c r="AD122" s="13">
        <f t="shared" si="142"/>
        <v>-4.025206620809473</v>
      </c>
      <c r="AE122" s="13">
        <f t="shared" si="143"/>
        <v>-4.6411818606247515</v>
      </c>
      <c r="AF122" s="13">
        <f t="shared" si="144"/>
        <v>-5.3681065231657223</v>
      </c>
      <c r="AG122" s="13">
        <f t="shared" si="145"/>
        <v>-4.9063235544757946</v>
      </c>
      <c r="AH122" s="13">
        <f t="shared" si="146"/>
        <v>-3.0209495607929675</v>
      </c>
      <c r="AI122" s="13">
        <f t="shared" si="147"/>
        <v>-2.3800766867943706</v>
      </c>
      <c r="AJ122" s="13">
        <f t="shared" si="148"/>
        <v>-3.2628906311285988</v>
      </c>
      <c r="AK122" s="15">
        <f t="shared" si="138"/>
        <v>10.360430000000001</v>
      </c>
      <c r="AL122" s="13">
        <f t="shared" si="128"/>
        <v>-8.796787392029092</v>
      </c>
      <c r="AM122" s="13">
        <f t="shared" si="149"/>
        <v>-0.36616071478765488</v>
      </c>
      <c r="AN122" s="17">
        <f t="shared" si="139"/>
        <v>5.8155907291666669</v>
      </c>
      <c r="AO122" s="13">
        <f t="shared" si="129"/>
        <v>-88.544904733542126</v>
      </c>
      <c r="AP122" s="13">
        <f t="shared" si="150"/>
        <v>-2.7542429779963769</v>
      </c>
      <c r="AQ122" s="10" t="s">
        <v>239</v>
      </c>
      <c r="AR122" s="10" t="s">
        <v>235</v>
      </c>
      <c r="AS122">
        <v>113.11</v>
      </c>
    </row>
    <row r="123" spans="1:45" ht="13" customHeight="1">
      <c r="A123" s="7" t="s">
        <v>126</v>
      </c>
      <c r="B123" s="7" t="s">
        <v>61</v>
      </c>
      <c r="C123" s="4">
        <v>4.2488739490274599</v>
      </c>
      <c r="D123" s="4">
        <f t="shared" ref="D123:D125" si="151">POWER(10,C123)</f>
        <v>17736.746093749713</v>
      </c>
      <c r="E123" s="13">
        <f t="shared" si="117"/>
        <v>13.923345683593524</v>
      </c>
      <c r="F123" s="13">
        <f t="shared" si="118"/>
        <v>2.5952503931530924</v>
      </c>
      <c r="G123" s="13">
        <f t="shared" si="135"/>
        <v>0.11419865731722345</v>
      </c>
      <c r="H123" s="4">
        <v>4.0520647884224203</v>
      </c>
      <c r="I123" s="9">
        <f t="shared" ref="I123:I125" si="152">POWER(10,H123)</f>
        <v>11273.656249999989</v>
      </c>
      <c r="J123" s="13">
        <f t="shared" si="97"/>
        <v>8.8498201562499919</v>
      </c>
      <c r="K123" s="13">
        <f t="shared" si="98"/>
        <v>-58.477796750424929</v>
      </c>
      <c r="L123" s="13">
        <f t="shared" si="136"/>
        <v>-1.8538929487331723</v>
      </c>
      <c r="M123" s="3">
        <v>-577</v>
      </c>
      <c r="N123" s="3">
        <v>-507</v>
      </c>
      <c r="O123" s="3">
        <f t="shared" si="130"/>
        <v>70</v>
      </c>
      <c r="P123" s="13">
        <v>0.28199999999999997</v>
      </c>
      <c r="Q123" s="13">
        <f t="shared" si="114"/>
        <v>359.23566878980893</v>
      </c>
      <c r="R123" s="13">
        <f t="shared" si="115"/>
        <v>40.506363002704617</v>
      </c>
      <c r="S123" s="13">
        <f t="shared" si="137"/>
        <v>2.2552923338999893</v>
      </c>
      <c r="T123" s="43">
        <v>120</v>
      </c>
      <c r="U123" s="43">
        <v>104</v>
      </c>
      <c r="V123" s="4">
        <v>12231</v>
      </c>
      <c r="W123" s="4">
        <v>11065</v>
      </c>
      <c r="X123" s="4">
        <v>10427</v>
      </c>
      <c r="Y123" s="4">
        <v>18323</v>
      </c>
      <c r="Z123" s="4">
        <v>15692</v>
      </c>
      <c r="AA123" s="4">
        <v>7898</v>
      </c>
      <c r="AB123" s="4">
        <v>11595</v>
      </c>
      <c r="AC123" s="4">
        <v>8984</v>
      </c>
      <c r="AD123" s="13">
        <f t="shared" si="142"/>
        <v>-0.74953069934627381</v>
      </c>
      <c r="AE123" s="13">
        <f t="shared" si="143"/>
        <v>-1.5360479489025973</v>
      </c>
      <c r="AF123" s="13">
        <f t="shared" si="144"/>
        <v>-1.9296116771713911</v>
      </c>
      <c r="AG123" s="13">
        <f t="shared" si="145"/>
        <v>0.47596980507604203</v>
      </c>
      <c r="AH123" s="13">
        <f t="shared" si="146"/>
        <v>0.12598352891448106</v>
      </c>
      <c r="AI123" s="13">
        <f t="shared" si="147"/>
        <v>-2.0860574460612886</v>
      </c>
      <c r="AJ123" s="13">
        <f t="shared" si="148"/>
        <v>-0.7352629008418039</v>
      </c>
      <c r="AK123" s="15">
        <f t="shared" si="138"/>
        <v>7.0524400000000007</v>
      </c>
      <c r="AL123" s="13">
        <f t="shared" si="128"/>
        <v>-59.828584149599287</v>
      </c>
      <c r="AM123" s="13">
        <f t="shared" si="149"/>
        <v>-2.0365445225146797</v>
      </c>
      <c r="AN123" s="17">
        <f t="shared" si="139"/>
        <v>8.9278540624999998</v>
      </c>
      <c r="AO123" s="13">
        <f t="shared" si="129"/>
        <v>-22.81786780158852</v>
      </c>
      <c r="AP123" s="13">
        <f t="shared" si="150"/>
        <v>-0.89271050815887332</v>
      </c>
      <c r="AQ123" s="10" t="s">
        <v>239</v>
      </c>
      <c r="AR123" s="10" t="s">
        <v>235</v>
      </c>
      <c r="AS123">
        <v>204.23</v>
      </c>
    </row>
    <row r="124" spans="1:45" ht="14">
      <c r="A124" s="7" t="s">
        <v>126</v>
      </c>
      <c r="B124" s="7" t="s">
        <v>61</v>
      </c>
      <c r="C124" s="4">
        <v>4.0079983006184499</v>
      </c>
      <c r="D124" s="4">
        <f t="shared" si="151"/>
        <v>10185.874023437358</v>
      </c>
      <c r="E124" s="13">
        <f t="shared" si="117"/>
        <v>7.9959111083983263</v>
      </c>
      <c r="F124" s="13">
        <f t="shared" si="118"/>
        <v>-69.611690477092168</v>
      </c>
      <c r="G124" s="13">
        <f t="shared" si="135"/>
        <v>-2.2945578267728797</v>
      </c>
      <c r="H124" s="4">
        <v>3.9812892678101601</v>
      </c>
      <c r="I124" s="9">
        <f t="shared" si="152"/>
        <v>9578.3183593748818</v>
      </c>
      <c r="J124" s="13">
        <f t="shared" si="97"/>
        <v>7.5189799121092831</v>
      </c>
      <c r="K124" s="13">
        <f t="shared" si="98"/>
        <v>-86.527962089814878</v>
      </c>
      <c r="L124" s="13">
        <f t="shared" si="136"/>
        <v>-2.5616481548557744</v>
      </c>
      <c r="M124" s="3">
        <v>-568</v>
      </c>
      <c r="N124" s="3">
        <v>-499</v>
      </c>
      <c r="O124" s="3">
        <f t="shared" si="130"/>
        <v>69</v>
      </c>
      <c r="P124" s="13">
        <v>0.45600000000000002</v>
      </c>
      <c r="Q124" s="13">
        <f t="shared" si="114"/>
        <v>580.89171974522287</v>
      </c>
      <c r="R124" s="13">
        <f t="shared" si="115"/>
        <v>3.797523153309601</v>
      </c>
      <c r="S124" s="13">
        <f t="shared" si="137"/>
        <v>0.16813499044925134</v>
      </c>
      <c r="T124" s="43">
        <v>112</v>
      </c>
      <c r="U124" s="43">
        <v>112</v>
      </c>
      <c r="V124" s="4">
        <v>6394</v>
      </c>
      <c r="W124" s="4">
        <v>9186</v>
      </c>
      <c r="X124" s="4">
        <v>13132</v>
      </c>
      <c r="Y124" s="4">
        <v>13825</v>
      </c>
      <c r="Z124" s="4">
        <v>10111</v>
      </c>
      <c r="AA124" s="4">
        <v>7434</v>
      </c>
      <c r="AB124" s="4">
        <v>9566</v>
      </c>
      <c r="AC124" s="4">
        <v>11431</v>
      </c>
      <c r="AD124" s="13">
        <f t="shared" si="142"/>
        <v>-3.5664240417077742</v>
      </c>
      <c r="AE124" s="13">
        <f t="shared" si="143"/>
        <v>-2.3442977207163187</v>
      </c>
      <c r="AF124" s="13">
        <f t="shared" si="144"/>
        <v>-0.92789667200746839</v>
      </c>
      <c r="AG124" s="13">
        <f t="shared" si="145"/>
        <v>-0.74734461117153939</v>
      </c>
      <c r="AH124" s="13">
        <f t="shared" si="146"/>
        <v>-1.7828583617733811</v>
      </c>
      <c r="AI124" s="13">
        <f t="shared" si="147"/>
        <v>-2.3490031724694709</v>
      </c>
      <c r="AJ124" s="13">
        <f t="shared" si="148"/>
        <v>-1.5706666652224122</v>
      </c>
      <c r="AK124" s="15">
        <f t="shared" si="138"/>
        <v>8.9733350000000005</v>
      </c>
      <c r="AL124" s="13">
        <f t="shared" si="128"/>
        <v>-25.614556906657327</v>
      </c>
      <c r="AM124" s="13">
        <f t="shared" si="149"/>
        <v>-0.99039970753944284</v>
      </c>
      <c r="AN124" s="17">
        <f t="shared" si="139"/>
        <v>7.5576692708333333</v>
      </c>
      <c r="AO124" s="13">
        <f t="shared" si="129"/>
        <v>-45.084411702378759</v>
      </c>
      <c r="AP124" s="13">
        <f t="shared" si="150"/>
        <v>-1.6163025040289889</v>
      </c>
      <c r="AQ124" s="10" t="s">
        <v>239</v>
      </c>
      <c r="AR124" s="10" t="s">
        <v>235</v>
      </c>
      <c r="AS124">
        <v>204.23</v>
      </c>
    </row>
    <row r="125" spans="1:45" ht="14">
      <c r="A125" s="7" t="s">
        <v>126</v>
      </c>
      <c r="B125" s="7" t="s">
        <v>61</v>
      </c>
      <c r="C125" s="4">
        <v>4.1222495181477496</v>
      </c>
      <c r="D125" s="4">
        <f t="shared" si="151"/>
        <v>13251.026367187515</v>
      </c>
      <c r="E125" s="13">
        <f t="shared" si="117"/>
        <v>10.402055698242199</v>
      </c>
      <c r="F125" s="13">
        <f t="shared" si="118"/>
        <v>-30.378075194230945</v>
      </c>
      <c r="G125" s="13">
        <f t="shared" si="135"/>
        <v>-1.1520456514798818</v>
      </c>
      <c r="H125" s="4">
        <v>4.04734275862742</v>
      </c>
      <c r="I125" s="9">
        <f t="shared" si="152"/>
        <v>11151.743164062478</v>
      </c>
      <c r="J125" s="13">
        <f t="shared" si="97"/>
        <v>8.7541183837890451</v>
      </c>
      <c r="K125" s="13">
        <f t="shared" si="98"/>
        <v>-60.210307710387156</v>
      </c>
      <c r="L125" s="13">
        <f t="shared" si="136"/>
        <v>-1.9011132466831746</v>
      </c>
      <c r="M125" s="3">
        <v>-579</v>
      </c>
      <c r="N125" s="3">
        <v>-508</v>
      </c>
      <c r="O125" s="3">
        <f t="shared" si="130"/>
        <v>71</v>
      </c>
      <c r="P125" s="13">
        <v>0.27900000000000003</v>
      </c>
      <c r="Q125" s="13">
        <f t="shared" si="114"/>
        <v>355.4140127388535</v>
      </c>
      <c r="R125" s="13">
        <f t="shared" si="115"/>
        <v>41.139274034590741</v>
      </c>
      <c r="S125" s="13">
        <f t="shared" si="137"/>
        <v>2.3017413843576251</v>
      </c>
      <c r="T125" s="43">
        <v>90</v>
      </c>
      <c r="U125" s="43">
        <v>85</v>
      </c>
      <c r="V125" s="4">
        <v>6976</v>
      </c>
      <c r="W125" s="4">
        <v>10156</v>
      </c>
      <c r="X125" s="4">
        <v>10366</v>
      </c>
      <c r="Y125" s="4">
        <v>13221</v>
      </c>
      <c r="Z125" s="4">
        <v>12593</v>
      </c>
      <c r="AA125" s="4">
        <v>7605</v>
      </c>
      <c r="AB125" s="4">
        <v>7417</v>
      </c>
      <c r="AC125" s="4">
        <v>9310</v>
      </c>
      <c r="AD125" s="13">
        <f t="shared" si="142"/>
        <v>-3.1880856418193577</v>
      </c>
      <c r="AE125" s="13">
        <f t="shared" si="143"/>
        <v>-1.9083352095185191</v>
      </c>
      <c r="AF125" s="13">
        <f t="shared" si="144"/>
        <v>-1.9550933675453697</v>
      </c>
      <c r="AG125" s="13">
        <f t="shared" si="145"/>
        <v>-0.94135295864308466</v>
      </c>
      <c r="AH125" s="13">
        <f t="shared" si="146"/>
        <v>-0.82950743206242006</v>
      </c>
      <c r="AI125" s="13">
        <f t="shared" si="147"/>
        <v>-2.25023655617637</v>
      </c>
      <c r="AJ125" s="13">
        <f t="shared" si="148"/>
        <v>-2.6756876404639214</v>
      </c>
      <c r="AK125" s="15">
        <f t="shared" si="138"/>
        <v>7.3083500000000008</v>
      </c>
      <c r="AL125" s="13">
        <f t="shared" si="128"/>
        <v>-54.232008592910844</v>
      </c>
      <c r="AM125" s="13">
        <f t="shared" si="149"/>
        <v>-1.8817451452352663</v>
      </c>
      <c r="AN125" s="17">
        <f t="shared" si="139"/>
        <v>7.2252544791666669</v>
      </c>
      <c r="AO125" s="13">
        <f t="shared" si="129"/>
        <v>-51.75936060960251</v>
      </c>
      <c r="AP125" s="13">
        <f t="shared" si="150"/>
        <v>-1.8116498546126116</v>
      </c>
      <c r="AQ125" s="10" t="s">
        <v>239</v>
      </c>
      <c r="AR125" s="10" t="s">
        <v>235</v>
      </c>
      <c r="AS125">
        <v>204.23</v>
      </c>
    </row>
    <row r="126" spans="1:45" ht="13" customHeight="1">
      <c r="A126" s="24" t="s">
        <v>198</v>
      </c>
      <c r="B126" s="7" t="s">
        <v>62</v>
      </c>
      <c r="C126" s="4">
        <v>4.1425738012123299</v>
      </c>
      <c r="D126" s="4">
        <f t="shared" ref="D126:D128" si="153">POWER(10,C126)</f>
        <v>13885.892578124714</v>
      </c>
      <c r="E126" s="13">
        <f t="shared" si="117"/>
        <v>10.900425673827902</v>
      </c>
      <c r="F126" s="13">
        <f t="shared" si="118"/>
        <v>-24.417159529490483</v>
      </c>
      <c r="G126" s="13">
        <f t="shared" si="135"/>
        <v>-0.9488028208340803</v>
      </c>
      <c r="H126" s="4">
        <v>4.2811290603006302</v>
      </c>
      <c r="I126" s="9">
        <f t="shared" ref="I126:I128" si="154">POWER(10,H126)</f>
        <v>19104.208984374669</v>
      </c>
      <c r="J126" s="13">
        <f t="shared" si="97"/>
        <v>14.996804052734117</v>
      </c>
      <c r="K126" s="13">
        <f t="shared" si="98"/>
        <v>6.4800743499542008</v>
      </c>
      <c r="L126" s="13">
        <f t="shared" si="136"/>
        <v>0.43674977004892468</v>
      </c>
      <c r="M126" s="3">
        <v>-612</v>
      </c>
      <c r="N126" s="3">
        <v>-480</v>
      </c>
      <c r="O126" s="3">
        <f t="shared" si="130"/>
        <v>132</v>
      </c>
      <c r="P126" s="13">
        <v>0.33300000000000002</v>
      </c>
      <c r="Q126" s="13">
        <f t="shared" si="114"/>
        <v>424.20382165605093</v>
      </c>
      <c r="R126" s="13">
        <f t="shared" si="115"/>
        <v>29.746875460640567</v>
      </c>
      <c r="S126" s="13">
        <f t="shared" si="137"/>
        <v>1.5333410820304025</v>
      </c>
      <c r="T126" s="43">
        <v>160</v>
      </c>
      <c r="U126" s="43">
        <v>124</v>
      </c>
      <c r="V126" s="4">
        <v>11796</v>
      </c>
      <c r="W126" s="4">
        <v>19255</v>
      </c>
      <c r="X126" s="4">
        <v>27143</v>
      </c>
      <c r="Y126" s="4">
        <v>16385</v>
      </c>
      <c r="Z126" s="4">
        <v>21263</v>
      </c>
      <c r="AA126" s="4">
        <v>11823</v>
      </c>
      <c r="AB126" s="4">
        <v>7320</v>
      </c>
      <c r="AC126" s="4">
        <v>8477</v>
      </c>
      <c r="AD126" s="13">
        <f t="shared" si="142"/>
        <v>-0.90680272226686109</v>
      </c>
      <c r="AE126" s="13">
        <f t="shared" si="143"/>
        <v>0.86987309805213386</v>
      </c>
      <c r="AF126" s="13">
        <f t="shared" si="144"/>
        <v>2.225373054349387</v>
      </c>
      <c r="AG126" s="13">
        <f t="shared" si="145"/>
        <v>-9.5315537549520643E-3</v>
      </c>
      <c r="AH126" s="13">
        <f t="shared" si="146"/>
        <v>1.4454459262072783</v>
      </c>
      <c r="AI126" s="13">
        <f t="shared" si="147"/>
        <v>-0.33395184421388702</v>
      </c>
      <c r="AJ126" s="13">
        <f t="shared" si="148"/>
        <v>-2.7328596199979471</v>
      </c>
      <c r="AK126" s="15">
        <f t="shared" si="138"/>
        <v>6.6544450000000008</v>
      </c>
      <c r="AL126" s="13">
        <f t="shared" si="128"/>
        <v>-69.387755102040799</v>
      </c>
      <c r="AM126" s="13">
        <f t="shared" si="149"/>
        <v>-2.2888201234756025</v>
      </c>
      <c r="AN126" s="17">
        <f t="shared" si="139"/>
        <v>10.24672765625</v>
      </c>
      <c r="AO126" s="13">
        <f t="shared" si="129"/>
        <v>-7.0097729523619146</v>
      </c>
      <c r="AP126" s="13">
        <f t="shared" si="150"/>
        <v>-0.2943293993627375</v>
      </c>
      <c r="AQ126" s="10" t="s">
        <v>242</v>
      </c>
      <c r="AR126" s="10" t="s">
        <v>235</v>
      </c>
      <c r="AS126">
        <v>227.28</v>
      </c>
    </row>
    <row r="127" spans="1:45" ht="14">
      <c r="A127" s="24" t="s">
        <v>198</v>
      </c>
      <c r="B127" s="7" t="s">
        <v>62</v>
      </c>
      <c r="C127" s="4">
        <v>4.0467178727575401</v>
      </c>
      <c r="D127" s="4">
        <f t="shared" si="153"/>
        <v>11135.708984374789</v>
      </c>
      <c r="E127" s="13">
        <f t="shared" si="117"/>
        <v>8.7415315527342106</v>
      </c>
      <c r="F127" s="13">
        <f t="shared" si="118"/>
        <v>-55.144437999060059</v>
      </c>
      <c r="G127" s="13">
        <f t="shared" si="135"/>
        <v>-1.9073621053819756</v>
      </c>
      <c r="H127" s="4">
        <v>4.2684540557496904</v>
      </c>
      <c r="I127" s="9">
        <f t="shared" si="154"/>
        <v>18554.705078124614</v>
      </c>
      <c r="J127" s="13">
        <f t="shared" si="97"/>
        <v>14.565443486327823</v>
      </c>
      <c r="K127" s="13">
        <f t="shared" si="98"/>
        <v>3.7104499209730357</v>
      </c>
      <c r="L127" s="13">
        <f t="shared" si="136"/>
        <v>0.30999972453952429</v>
      </c>
      <c r="M127" s="3">
        <v>-587</v>
      </c>
      <c r="N127" s="3">
        <v>-478</v>
      </c>
      <c r="O127" s="3">
        <f t="shared" si="130"/>
        <v>109</v>
      </c>
      <c r="P127" s="13">
        <v>0.42599999999999999</v>
      </c>
      <c r="Q127" s="13">
        <f t="shared" si="114"/>
        <v>542.67515923566873</v>
      </c>
      <c r="R127" s="13">
        <f t="shared" si="115"/>
        <v>10.12663347217082</v>
      </c>
      <c r="S127" s="13">
        <f t="shared" si="137"/>
        <v>0.46368742606641195</v>
      </c>
      <c r="T127" s="43">
        <v>182</v>
      </c>
      <c r="U127" s="43">
        <v>142</v>
      </c>
      <c r="V127" s="4">
        <v>15466</v>
      </c>
      <c r="W127" s="4">
        <v>14378</v>
      </c>
      <c r="X127" s="4">
        <v>11331</v>
      </c>
      <c r="Y127" s="4">
        <v>17273</v>
      </c>
      <c r="Z127" s="4">
        <v>15333</v>
      </c>
      <c r="AA127" s="4">
        <v>11226</v>
      </c>
      <c r="AB127" s="4">
        <v>9134</v>
      </c>
      <c r="AC127" s="4">
        <v>6872</v>
      </c>
      <c r="AD127" s="13">
        <f t="shared" si="142"/>
        <v>0.2696296973558362</v>
      </c>
      <c r="AE127" s="13">
        <f t="shared" si="143"/>
        <v>-0.39857733878020318</v>
      </c>
      <c r="AF127" s="13">
        <f t="shared" si="144"/>
        <v>-1.5685230171086186</v>
      </c>
      <c r="AG127" s="13">
        <f t="shared" si="145"/>
        <v>0.21968171927871416</v>
      </c>
      <c r="AH127" s="13">
        <f t="shared" si="146"/>
        <v>2.5471891088491742E-2</v>
      </c>
      <c r="AI127" s="13">
        <f t="shared" si="147"/>
        <v>-0.55897836123000677</v>
      </c>
      <c r="AJ127" s="13">
        <f t="shared" si="148"/>
        <v>-1.7713603578720476</v>
      </c>
      <c r="AK127" s="15">
        <f t="shared" si="138"/>
        <v>5.3945200000000009</v>
      </c>
      <c r="AL127" s="13">
        <f t="shared" si="128"/>
        <v>-108.94935972060532</v>
      </c>
      <c r="AM127" s="13">
        <f t="shared" si="149"/>
        <v>-3.200410446816834</v>
      </c>
      <c r="AN127" s="17">
        <f t="shared" si="139"/>
        <v>8.9065282291666659</v>
      </c>
      <c r="AO127" s="13">
        <f t="shared" si="129"/>
        <v>-23.111943485367846</v>
      </c>
      <c r="AP127" s="13">
        <f t="shared" si="150"/>
        <v>-0.90309684619012442</v>
      </c>
      <c r="AQ127" s="10" t="s">
        <v>242</v>
      </c>
      <c r="AR127" s="10" t="s">
        <v>235</v>
      </c>
      <c r="AS127">
        <v>227.28</v>
      </c>
    </row>
    <row r="128" spans="1:45" ht="14">
      <c r="A128" s="24" t="s">
        <v>198</v>
      </c>
      <c r="B128" s="7" t="s">
        <v>62</v>
      </c>
      <c r="C128" s="4">
        <v>4.0667050976143697</v>
      </c>
      <c r="D128" s="4">
        <f t="shared" si="153"/>
        <v>11660.175781249924</v>
      </c>
      <c r="E128" s="13">
        <f t="shared" si="117"/>
        <v>9.153237988281191</v>
      </c>
      <c r="F128" s="13">
        <f t="shared" si="118"/>
        <v>-48.166146421226095</v>
      </c>
      <c r="G128" s="13">
        <f t="shared" si="135"/>
        <v>-1.7074898568136823</v>
      </c>
      <c r="H128" s="4">
        <v>4.2810024567728</v>
      </c>
      <c r="I128" s="9">
        <f t="shared" si="154"/>
        <v>19098.640624999862</v>
      </c>
      <c r="J128" s="13">
        <f t="shared" si="97"/>
        <v>14.992432890624892</v>
      </c>
      <c r="K128" s="13">
        <f t="shared" si="98"/>
        <v>6.4528078776984188</v>
      </c>
      <c r="L128" s="13">
        <f t="shared" si="136"/>
        <v>0.43548373477062097</v>
      </c>
      <c r="M128" s="3">
        <v>-614</v>
      </c>
      <c r="N128" s="3">
        <v>-490</v>
      </c>
      <c r="O128" s="3">
        <f t="shared" si="130"/>
        <v>124</v>
      </c>
      <c r="P128" s="13">
        <v>0.38</v>
      </c>
      <c r="Q128" s="13">
        <f t="shared" si="114"/>
        <v>484.07643312101908</v>
      </c>
      <c r="R128" s="13">
        <f t="shared" si="115"/>
        <v>19.831269294424668</v>
      </c>
      <c r="S128" s="13">
        <f t="shared" si="137"/>
        <v>0.95994745092549927</v>
      </c>
      <c r="T128" s="43">
        <v>159</v>
      </c>
      <c r="U128" s="43">
        <v>124</v>
      </c>
      <c r="V128" s="4">
        <v>13817</v>
      </c>
      <c r="W128" s="4">
        <v>22224</v>
      </c>
      <c r="X128" s="4">
        <v>15761</v>
      </c>
      <c r="Y128" s="4">
        <v>18170</v>
      </c>
      <c r="Z128" s="4">
        <v>14445</v>
      </c>
      <c r="AA128" s="4">
        <v>10348</v>
      </c>
      <c r="AB128" s="4">
        <v>9572</v>
      </c>
      <c r="AC128" s="4">
        <v>8851</v>
      </c>
      <c r="AD128" s="13">
        <f t="shared" si="142"/>
        <v>-0.22001278515372441</v>
      </c>
      <c r="AE128" s="13">
        <f t="shared" si="143"/>
        <v>1.4926601524000382</v>
      </c>
      <c r="AF128" s="13">
        <f t="shared" si="144"/>
        <v>-0.13536772222272492</v>
      </c>
      <c r="AG128" s="13">
        <f t="shared" si="145"/>
        <v>0.43955326214144486</v>
      </c>
      <c r="AH128" s="13">
        <f t="shared" si="146"/>
        <v>-0.23362400385834414</v>
      </c>
      <c r="AI128" s="13">
        <f t="shared" si="147"/>
        <v>-0.91266453962148397</v>
      </c>
      <c r="AJ128" s="13">
        <f t="shared" si="148"/>
        <v>-1.5679435311678682</v>
      </c>
      <c r="AK128" s="15">
        <f t="shared" si="138"/>
        <v>6.948035</v>
      </c>
      <c r="AL128" s="13">
        <f t="shared" si="128"/>
        <v>-62.230256468195691</v>
      </c>
      <c r="AM128" s="13">
        <f t="shared" si="149"/>
        <v>-2.1013185475649703</v>
      </c>
      <c r="AN128" s="17">
        <f t="shared" si="139"/>
        <v>9.266229947916667</v>
      </c>
      <c r="AO128" s="13">
        <f t="shared" si="129"/>
        <v>-18.33291491395881</v>
      </c>
      <c r="AP128" s="13">
        <f t="shared" si="150"/>
        <v>-0.73115060034377244</v>
      </c>
      <c r="AQ128" s="10" t="s">
        <v>242</v>
      </c>
      <c r="AR128" s="10" t="s">
        <v>235</v>
      </c>
      <c r="AS128">
        <v>227.28</v>
      </c>
    </row>
    <row r="129" spans="1:45" ht="13" customHeight="1">
      <c r="A129" s="7" t="s">
        <v>128</v>
      </c>
      <c r="B129" s="7" t="s">
        <v>63</v>
      </c>
      <c r="C129" s="4">
        <v>3.93232356409204</v>
      </c>
      <c r="D129" s="4">
        <f t="shared" ref="D129:D131" si="155">POWER(10,C129)</f>
        <v>8557.0400390624727</v>
      </c>
      <c r="E129" s="13">
        <f t="shared" si="117"/>
        <v>6.7172764306640413</v>
      </c>
      <c r="F129" s="13">
        <f t="shared" si="118"/>
        <v>-101.89730376570667</v>
      </c>
      <c r="G129" s="13">
        <f t="shared" si="135"/>
        <v>-3.0513051920369749</v>
      </c>
      <c r="H129" s="4">
        <v>3.79770084255426</v>
      </c>
      <c r="I129" s="9">
        <f t="shared" ref="I129:I131" si="156">POWER(10,H129)</f>
        <v>6276.2587890623772</v>
      </c>
      <c r="J129" s="13">
        <f t="shared" si="97"/>
        <v>4.9268631494139665</v>
      </c>
      <c r="K129" s="13">
        <f t="shared" si="98"/>
        <v>-184.66388399012516</v>
      </c>
      <c r="L129" s="13">
        <f t="shared" si="136"/>
        <v>-4.3975324074147757</v>
      </c>
      <c r="M129" s="3">
        <v>-525</v>
      </c>
      <c r="N129" s="3">
        <v>-489</v>
      </c>
      <c r="O129" s="3">
        <f t="shared" si="130"/>
        <v>36</v>
      </c>
      <c r="P129" s="13">
        <v>0.95099999999999996</v>
      </c>
      <c r="Q129" s="13">
        <f t="shared" si="114"/>
        <v>1211.4649681528663</v>
      </c>
      <c r="R129" s="13">
        <f t="shared" si="115"/>
        <v>-100.6327971079004</v>
      </c>
      <c r="S129" s="13">
        <f t="shared" si="137"/>
        <v>-3.0240217522805386</v>
      </c>
      <c r="T129" s="43">
        <v>23</v>
      </c>
      <c r="U129" s="43">
        <v>144</v>
      </c>
      <c r="V129" s="4">
        <v>3872</v>
      </c>
      <c r="W129" s="4">
        <v>9680</v>
      </c>
      <c r="X129" s="4">
        <v>6400</v>
      </c>
      <c r="Y129" s="4">
        <v>4367</v>
      </c>
      <c r="Z129" s="4">
        <v>4480</v>
      </c>
      <c r="AA129" s="4">
        <v>13480</v>
      </c>
      <c r="AB129" s="4">
        <v>6351</v>
      </c>
      <c r="AC129" s="4">
        <v>6579</v>
      </c>
      <c r="AD129" s="13">
        <f t="shared" si="142"/>
        <v>-5.7447968747009046</v>
      </c>
      <c r="AE129" s="13">
        <f t="shared" si="143"/>
        <v>-2.1168085584514289</v>
      </c>
      <c r="AF129" s="13">
        <f t="shared" si="144"/>
        <v>-4.0494056727416217</v>
      </c>
      <c r="AG129" s="13">
        <f t="shared" si="145"/>
        <v>-5.752164091725497</v>
      </c>
      <c r="AH129" s="13">
        <f t="shared" si="146"/>
        <v>-5.318019325679062</v>
      </c>
      <c r="AI129" s="13">
        <f t="shared" si="147"/>
        <v>0.23567018192646849</v>
      </c>
      <c r="AJ129" s="13">
        <f t="shared" si="148"/>
        <v>-3.3495493031911212</v>
      </c>
      <c r="AK129" s="15">
        <f t="shared" si="138"/>
        <v>5.1645150000000006</v>
      </c>
      <c r="AL129" s="13">
        <f t="shared" si="128"/>
        <v>-118.25505395956827</v>
      </c>
      <c r="AM129" s="13">
        <f t="shared" si="149"/>
        <v>-3.3896430910768394</v>
      </c>
      <c r="AN129" s="17">
        <f t="shared" si="139"/>
        <v>5.9609302083333331</v>
      </c>
      <c r="AO129" s="13">
        <f t="shared" si="129"/>
        <v>-83.947800373019248</v>
      </c>
      <c r="AP129" s="13">
        <f t="shared" si="150"/>
        <v>-2.6470409629411282</v>
      </c>
      <c r="AQ129" s="10" t="s">
        <v>239</v>
      </c>
      <c r="AR129" s="10" t="s">
        <v>235</v>
      </c>
      <c r="AS129">
        <v>123.11</v>
      </c>
    </row>
    <row r="130" spans="1:45" ht="14">
      <c r="A130" s="7" t="s">
        <v>128</v>
      </c>
      <c r="B130" s="7" t="s">
        <v>63</v>
      </c>
      <c r="C130" s="4">
        <v>4.0244905983168904</v>
      </c>
      <c r="D130" s="4">
        <f t="shared" si="155"/>
        <v>10580.120117187338</v>
      </c>
      <c r="E130" s="13">
        <f t="shared" si="117"/>
        <v>8.3053942919920605</v>
      </c>
      <c r="F130" s="13">
        <f t="shared" si="118"/>
        <v>-63.291464838415699</v>
      </c>
      <c r="G130" s="13">
        <f t="shared" si="135"/>
        <v>-2.1296348497884749</v>
      </c>
      <c r="H130" s="4">
        <v>3.7214010337884398</v>
      </c>
      <c r="I130" s="9">
        <f t="shared" si="156"/>
        <v>5265.0322265624582</v>
      </c>
      <c r="J130" s="13">
        <f t="shared" si="97"/>
        <v>4.13305029785153</v>
      </c>
      <c r="K130" s="13">
        <f t="shared" si="98"/>
        <v>-239.33775273169479</v>
      </c>
      <c r="L130" s="13">
        <f t="shared" si="136"/>
        <v>-5.1605304950729778</v>
      </c>
      <c r="M130" s="3">
        <v>-520</v>
      </c>
      <c r="N130" s="3">
        <v>-482</v>
      </c>
      <c r="O130" s="3">
        <f t="shared" si="130"/>
        <v>38</v>
      </c>
      <c r="P130" s="13">
        <v>1.1140000000000001</v>
      </c>
      <c r="Q130" s="13">
        <f t="shared" ref="Q130:Q133" si="157">1000*P130/(0.785)</f>
        <v>1419.1082802547769</v>
      </c>
      <c r="R130" s="13">
        <f t="shared" ref="R130:R133" si="158">(1-Q130/603.822)*100</f>
        <v>-135.02096317371291</v>
      </c>
      <c r="S130" s="13">
        <f t="shared" si="137"/>
        <v>-3.7110684912834997</v>
      </c>
      <c r="T130" s="43">
        <v>28</v>
      </c>
      <c r="U130" s="43">
        <v>148</v>
      </c>
      <c r="V130" s="4">
        <v>5085</v>
      </c>
      <c r="W130" s="4">
        <v>6971</v>
      </c>
      <c r="X130" s="4">
        <v>4190</v>
      </c>
      <c r="Y130" s="4">
        <v>4606</v>
      </c>
      <c r="Z130" s="4">
        <v>4807</v>
      </c>
      <c r="AA130" s="4">
        <v>6299</v>
      </c>
      <c r="AB130" s="4">
        <v>6492</v>
      </c>
      <c r="AC130" s="4">
        <v>7677</v>
      </c>
      <c r="AD130" s="13">
        <f t="shared" si="142"/>
        <v>-4.561240788476832</v>
      </c>
      <c r="AE130" s="13">
        <f t="shared" si="143"/>
        <v>-3.5426113041702938</v>
      </c>
      <c r="AF130" s="13">
        <f t="shared" si="144"/>
        <v>-5.8890651829175402</v>
      </c>
      <c r="AG130" s="13">
        <f t="shared" si="145"/>
        <v>-5.5207566746567753</v>
      </c>
      <c r="AH130" s="13">
        <f t="shared" si="146"/>
        <v>-5.0120582443740336</v>
      </c>
      <c r="AI130" s="13">
        <f t="shared" si="147"/>
        <v>-3.0685126565678154</v>
      </c>
      <c r="AJ130" s="13">
        <f t="shared" si="148"/>
        <v>-3.254185319039923</v>
      </c>
      <c r="AK130" s="15">
        <f t="shared" si="138"/>
        <v>6.0264450000000007</v>
      </c>
      <c r="AL130" s="13">
        <f t="shared" si="128"/>
        <v>-87.039208023967674</v>
      </c>
      <c r="AM130" s="13">
        <f t="shared" si="149"/>
        <v>-2.7193265489802139</v>
      </c>
      <c r="AN130" s="17">
        <f t="shared" si="139"/>
        <v>4.6220145833333337</v>
      </c>
      <c r="AO130" s="13">
        <f t="shared" si="129"/>
        <v>-137.23421469804603</v>
      </c>
      <c r="AP130" s="13">
        <f t="shared" si="150"/>
        <v>-3.751868219269495</v>
      </c>
      <c r="AQ130" s="10" t="s">
        <v>239</v>
      </c>
      <c r="AR130" s="10" t="s">
        <v>235</v>
      </c>
      <c r="AS130">
        <v>123.11</v>
      </c>
    </row>
    <row r="131" spans="1:45" ht="14">
      <c r="A131" s="7" t="s">
        <v>128</v>
      </c>
      <c r="B131" s="7" t="s">
        <v>63</v>
      </c>
      <c r="C131" s="4">
        <v>3.90993735699222</v>
      </c>
      <c r="D131" s="4">
        <f t="shared" si="155"/>
        <v>8127.1328124998636</v>
      </c>
      <c r="E131" s="13">
        <f t="shared" si="117"/>
        <v>6.379799257812393</v>
      </c>
      <c r="F131" s="13">
        <f t="shared" si="118"/>
        <v>-112.57722150728537</v>
      </c>
      <c r="G131" s="13">
        <f t="shared" si="135"/>
        <v>-3.27516726303518</v>
      </c>
      <c r="H131" s="4">
        <v>3.7134185523052299</v>
      </c>
      <c r="I131" s="9">
        <f t="shared" si="156"/>
        <v>5169.1430664062409</v>
      </c>
      <c r="J131" s="13">
        <f t="shared" si="97"/>
        <v>4.0577773071288989</v>
      </c>
      <c r="K131" s="13">
        <f t="shared" si="98"/>
        <v>-245.63257020931641</v>
      </c>
      <c r="L131" s="13">
        <f t="shared" si="136"/>
        <v>-5.2403553099050795</v>
      </c>
      <c r="M131" s="3">
        <v>-535</v>
      </c>
      <c r="N131" s="3">
        <v>-493</v>
      </c>
      <c r="O131" s="3">
        <f t="shared" si="130"/>
        <v>42</v>
      </c>
      <c r="P131" s="13">
        <v>1.177</v>
      </c>
      <c r="Q131" s="13">
        <f t="shared" si="157"/>
        <v>1499.3630573248406</v>
      </c>
      <c r="R131" s="13">
        <f t="shared" si="158"/>
        <v>-148.31209484332146</v>
      </c>
      <c r="S131" s="13">
        <f t="shared" si="137"/>
        <v>-3.9499812113407455</v>
      </c>
      <c r="T131" s="43">
        <v>22</v>
      </c>
      <c r="U131" s="43">
        <v>153</v>
      </c>
      <c r="V131" s="4">
        <v>3402</v>
      </c>
      <c r="W131" s="4">
        <v>7743</v>
      </c>
      <c r="X131" s="4">
        <v>5019</v>
      </c>
      <c r="Y131" s="4">
        <v>4381</v>
      </c>
      <c r="Z131" s="4">
        <v>4677</v>
      </c>
      <c r="AA131" s="4">
        <v>5723</v>
      </c>
      <c r="AB131" s="4">
        <v>6405</v>
      </c>
      <c r="AC131" s="4">
        <v>8165</v>
      </c>
      <c r="AD131" s="13">
        <f t="shared" si="142"/>
        <v>-6.3068072682989644</v>
      </c>
      <c r="AE131" s="13">
        <f t="shared" si="143"/>
        <v>-3.0864695389000523</v>
      </c>
      <c r="AF131" s="13">
        <f t="shared" si="144"/>
        <v>-5.1050334557599246</v>
      </c>
      <c r="AG131" s="13">
        <f t="shared" si="145"/>
        <v>-5.7382634791571441</v>
      </c>
      <c r="AH131" s="13">
        <f t="shared" si="146"/>
        <v>-5.1311257665754608</v>
      </c>
      <c r="AI131" s="13">
        <f t="shared" si="147"/>
        <v>-3.4849912809826518</v>
      </c>
      <c r="AJ131" s="13">
        <f t="shared" si="148"/>
        <v>-3.3127790897748142</v>
      </c>
      <c r="AK131" s="15">
        <f t="shared" si="138"/>
        <v>6.4095250000000004</v>
      </c>
      <c r="AL131" s="13">
        <f t="shared" si="128"/>
        <v>-75.860379669320267</v>
      </c>
      <c r="AM131" s="13">
        <f t="shared" si="149"/>
        <v>-2.4516800643218235</v>
      </c>
      <c r="AN131" s="17">
        <f t="shared" si="139"/>
        <v>4.5382240104166662</v>
      </c>
      <c r="AO131" s="13">
        <f t="shared" si="129"/>
        <v>-141.61434020955866</v>
      </c>
      <c r="AP131" s="13">
        <f t="shared" si="150"/>
        <v>-3.8313220414797073</v>
      </c>
      <c r="AQ131" s="10" t="s">
        <v>239</v>
      </c>
      <c r="AR131" s="10" t="s">
        <v>235</v>
      </c>
      <c r="AS131">
        <v>123.11</v>
      </c>
    </row>
    <row r="132" spans="1:45" ht="13" customHeight="1">
      <c r="A132" s="7" t="s">
        <v>160</v>
      </c>
      <c r="B132" s="7" t="s">
        <v>64</v>
      </c>
      <c r="C132" s="4">
        <v>3.74704766688019</v>
      </c>
      <c r="D132" s="4">
        <f t="shared" ref="D132:D134" si="159">POWER(10,C132)</f>
        <v>5585.3149414062382</v>
      </c>
      <c r="E132" s="13">
        <f t="shared" si="117"/>
        <v>4.3844722290038973</v>
      </c>
      <c r="F132" s="13">
        <f t="shared" si="118"/>
        <v>-209.31887104416975</v>
      </c>
      <c r="G132" s="13">
        <f t="shared" si="135"/>
        <v>-4.9040641641554794</v>
      </c>
      <c r="H132" s="4">
        <v>3.9460899363706798</v>
      </c>
      <c r="I132" s="9">
        <f t="shared" ref="I132:I134" si="160">POWER(10,H132)</f>
        <v>8832.6279296874782</v>
      </c>
      <c r="J132" s="13">
        <f t="shared" ref="J132:J199" si="161">I132*0.785/1000</f>
        <v>6.9336129248046712</v>
      </c>
      <c r="K132" s="13">
        <f t="shared" ref="K132:K199" si="162">(1-14.025/J132)*100</f>
        <v>-102.27549694656632</v>
      </c>
      <c r="L132" s="13">
        <f t="shared" si="136"/>
        <v>-2.9136414692505785</v>
      </c>
      <c r="M132" s="3">
        <v>-602</v>
      </c>
      <c r="N132" s="3">
        <v>-478</v>
      </c>
      <c r="O132" s="3">
        <f t="shared" si="130"/>
        <v>124</v>
      </c>
      <c r="P132" s="13">
        <v>0.83699999999999997</v>
      </c>
      <c r="Q132" s="13">
        <f t="shared" si="157"/>
        <v>1066.2420382165606</v>
      </c>
      <c r="R132" s="13">
        <f t="shared" si="158"/>
        <v>-76.58217789622779</v>
      </c>
      <c r="S132" s="13">
        <f t="shared" si="137"/>
        <v>-2.4694711628389991</v>
      </c>
      <c r="T132" s="43">
        <v>170</v>
      </c>
      <c r="U132" s="43">
        <v>135</v>
      </c>
      <c r="V132" s="4">
        <v>11367</v>
      </c>
      <c r="W132" s="4">
        <v>10649</v>
      </c>
      <c r="X132" s="4">
        <v>11346</v>
      </c>
      <c r="Y132" s="4">
        <v>6645</v>
      </c>
      <c r="Z132" s="4">
        <v>8683</v>
      </c>
      <c r="AA132" s="4">
        <v>4404</v>
      </c>
      <c r="AB132" s="4">
        <v>3820</v>
      </c>
      <c r="AC132" s="4">
        <v>3608</v>
      </c>
      <c r="AD132" s="13">
        <f t="shared" si="142"/>
        <v>-1.0676917611179095</v>
      </c>
      <c r="AE132" s="13">
        <f t="shared" si="143"/>
        <v>-1.7024738611799051</v>
      </c>
      <c r="AF132" s="13">
        <f t="shared" si="144"/>
        <v>-1.5627776202936603</v>
      </c>
      <c r="AG132" s="13">
        <f t="shared" si="145"/>
        <v>-3.9290461581513902</v>
      </c>
      <c r="AH132" s="13">
        <f t="shared" si="146"/>
        <v>-2.4441014554337097</v>
      </c>
      <c r="AI132" s="13">
        <f t="shared" si="147"/>
        <v>-4.6227556370694005</v>
      </c>
      <c r="AJ132" s="13">
        <f t="shared" si="148"/>
        <v>-5.5573368014647784</v>
      </c>
      <c r="AK132" s="15">
        <f t="shared" si="138"/>
        <v>2.8322800000000004</v>
      </c>
      <c r="AL132" s="13">
        <f t="shared" si="128"/>
        <v>-297.97671840354764</v>
      </c>
      <c r="AM132" s="13">
        <f t="shared" si="149"/>
        <v>-5.9985766663496509</v>
      </c>
      <c r="AN132" s="17">
        <f t="shared" si="139"/>
        <v>4.4060087499999998</v>
      </c>
      <c r="AO132" s="13">
        <f t="shared" si="129"/>
        <v>-148.86468961279297</v>
      </c>
      <c r="AP132" s="13">
        <f t="shared" si="150"/>
        <v>-3.9597277806214177</v>
      </c>
      <c r="AQ132" s="10" t="s">
        <v>240</v>
      </c>
      <c r="AR132" s="10" t="s">
        <v>236</v>
      </c>
      <c r="AS132">
        <v>210.22</v>
      </c>
    </row>
    <row r="133" spans="1:45" ht="14">
      <c r="A133" s="7" t="s">
        <v>160</v>
      </c>
      <c r="B133" s="7" t="s">
        <v>64</v>
      </c>
      <c r="C133" s="4">
        <v>3.7876414989062201</v>
      </c>
      <c r="D133" s="4">
        <f t="shared" si="159"/>
        <v>6132.5556640624955</v>
      </c>
      <c r="E133" s="13">
        <f t="shared" si="117"/>
        <v>4.8140561962890587</v>
      </c>
      <c r="F133" s="13">
        <f t="shared" si="118"/>
        <v>-181.71669475845215</v>
      </c>
      <c r="G133" s="13">
        <f t="shared" si="135"/>
        <v>-4.498125843895175</v>
      </c>
      <c r="H133" s="4">
        <v>3.9953237648986999</v>
      </c>
      <c r="I133" s="9">
        <f t="shared" si="160"/>
        <v>9892.9033203124691</v>
      </c>
      <c r="J133" s="13">
        <f t="shared" si="161"/>
        <v>7.765929106445288</v>
      </c>
      <c r="K133" s="13">
        <f t="shared" si="162"/>
        <v>-80.596549463219191</v>
      </c>
      <c r="L133" s="13">
        <f t="shared" si="136"/>
        <v>-2.4213031839703785</v>
      </c>
      <c r="M133" s="3">
        <v>-583</v>
      </c>
      <c r="N133" s="3">
        <v>-482</v>
      </c>
      <c r="O133" s="3">
        <f t="shared" si="130"/>
        <v>101</v>
      </c>
      <c r="P133" s="13">
        <v>0.64300000000000002</v>
      </c>
      <c r="Q133" s="13">
        <f t="shared" si="157"/>
        <v>819.10828025477701</v>
      </c>
      <c r="R133" s="13">
        <f t="shared" si="158"/>
        <v>-35.653931167591949</v>
      </c>
      <c r="S133" s="13">
        <f t="shared" si="137"/>
        <v>-1.32432631214862</v>
      </c>
      <c r="T133" s="43">
        <v>103</v>
      </c>
      <c r="U133" s="43">
        <v>178</v>
      </c>
      <c r="V133" s="4">
        <v>11519</v>
      </c>
      <c r="W133" s="4">
        <v>13926</v>
      </c>
      <c r="X133" s="4">
        <v>10932</v>
      </c>
      <c r="Y133" s="4">
        <v>7783</v>
      </c>
      <c r="Z133" s="4">
        <v>7531</v>
      </c>
      <c r="AA133" s="4">
        <v>3956</v>
      </c>
      <c r="AB133" s="4">
        <v>4014</v>
      </c>
      <c r="AC133" s="4">
        <v>3578</v>
      </c>
      <c r="AD133" s="13">
        <f t="shared" si="142"/>
        <v>-1.0100025782937321</v>
      </c>
      <c r="AE133" s="13">
        <f t="shared" si="143"/>
        <v>-0.53729822313975151</v>
      </c>
      <c r="AF133" s="13">
        <f t="shared" si="144"/>
        <v>-1.7242091823742629</v>
      </c>
      <c r="AG133" s="13">
        <f t="shared" si="145"/>
        <v>-3.2425257064511874</v>
      </c>
      <c r="AH133" s="13">
        <f t="shared" si="146"/>
        <v>-3.0622729896470666</v>
      </c>
      <c r="AI133" s="13">
        <f t="shared" si="147"/>
        <v>-5.0886659108151244</v>
      </c>
      <c r="AJ133" s="13">
        <f t="shared" si="148"/>
        <v>-5.3421967490671989</v>
      </c>
      <c r="AK133" s="15">
        <f t="shared" si="138"/>
        <v>2.8087300000000002</v>
      </c>
      <c r="AL133" s="13">
        <f t="shared" si="128"/>
        <v>-301.31358300726657</v>
      </c>
      <c r="AM133" s="13">
        <f t="shared" si="149"/>
        <v>-6.0348385927351513</v>
      </c>
      <c r="AN133" s="17">
        <f t="shared" si="139"/>
        <v>4.3261922395833334</v>
      </c>
      <c r="AO133" s="13">
        <f t="shared" si="129"/>
        <v>-153.45614324933621</v>
      </c>
      <c r="AP133" s="13">
        <f t="shared" si="150"/>
        <v>-4.0391231942142234</v>
      </c>
      <c r="AQ133" s="10" t="s">
        <v>240</v>
      </c>
      <c r="AR133" s="10" t="s">
        <v>236</v>
      </c>
      <c r="AS133">
        <v>210.22</v>
      </c>
    </row>
    <row r="134" spans="1:45" ht="14">
      <c r="A134" s="7" t="s">
        <v>160</v>
      </c>
      <c r="B134" s="7" t="s">
        <v>64</v>
      </c>
      <c r="C134" s="4">
        <v>3.7874651792022198</v>
      </c>
      <c r="D134" s="4">
        <f t="shared" si="159"/>
        <v>6130.0664062499909</v>
      </c>
      <c r="E134" s="13">
        <f t="shared" ref="E134:E201" si="163">D134*0.785/1000</f>
        <v>4.8121021289062424</v>
      </c>
      <c r="F134" s="13">
        <f t="shared" ref="F134:F201" si="164">(1-13.562/E134)*100</f>
        <v>-181.83109245610603</v>
      </c>
      <c r="G134" s="13">
        <f t="shared" si="135"/>
        <v>-4.4998890409351819</v>
      </c>
      <c r="H134" s="4">
        <v>3.9747604689993499</v>
      </c>
      <c r="I134" s="9">
        <f t="shared" si="160"/>
        <v>9435.4033203123545</v>
      </c>
      <c r="J134" s="13">
        <f t="shared" si="161"/>
        <v>7.4067916064451982</v>
      </c>
      <c r="K134" s="13">
        <f t="shared" si="162"/>
        <v>-89.35324152762459</v>
      </c>
      <c r="L134" s="13">
        <f t="shared" si="136"/>
        <v>-2.6269361429638827</v>
      </c>
      <c r="O134" s="3"/>
      <c r="Q134" s="13"/>
      <c r="R134" s="13"/>
      <c r="S134" s="13"/>
      <c r="V134" s="4">
        <v>7579</v>
      </c>
      <c r="W134" s="4">
        <v>7559</v>
      </c>
      <c r="X134" s="4">
        <v>11219</v>
      </c>
      <c r="Y134" s="4">
        <v>7561</v>
      </c>
      <c r="Z134" s="4">
        <v>8446</v>
      </c>
      <c r="AA134" s="4">
        <v>4422</v>
      </c>
      <c r="AB134" s="4">
        <v>3552</v>
      </c>
      <c r="AC134" s="4">
        <v>3483</v>
      </c>
      <c r="AD134" s="13">
        <f t="shared" si="142"/>
        <v>-2.8280312904059572</v>
      </c>
      <c r="AE134" s="13">
        <f t="shared" si="143"/>
        <v>-3.190918678120676</v>
      </c>
      <c r="AF134" s="13">
        <f t="shared" si="144"/>
        <v>-1.6116639323600299</v>
      </c>
      <c r="AG134" s="13">
        <f t="shared" si="145"/>
        <v>-3.3682036303167058</v>
      </c>
      <c r="AH134" s="13">
        <f t="shared" si="146"/>
        <v>-2.5642886947716126</v>
      </c>
      <c r="AI134" s="13">
        <f t="shared" si="147"/>
        <v>-4.6050413576395908</v>
      </c>
      <c r="AJ134" s="13">
        <f t="shared" si="148"/>
        <v>-5.8732408595162315</v>
      </c>
      <c r="AK134" s="15">
        <f t="shared" si="138"/>
        <v>2.7341550000000003</v>
      </c>
      <c r="AL134" s="13">
        <f t="shared" si="128"/>
        <v>-312.25954636807342</v>
      </c>
      <c r="AM134" s="13">
        <f t="shared" si="149"/>
        <v>-6.1517072104663306</v>
      </c>
      <c r="AN134" s="17">
        <f t="shared" si="139"/>
        <v>4.2587885416666671</v>
      </c>
      <c r="AO134" s="13">
        <f t="shared" si="129"/>
        <v>-157.46758480074413</v>
      </c>
      <c r="AP134" s="13">
        <f t="shared" si="150"/>
        <v>-4.1073205643264163</v>
      </c>
      <c r="AQ134" s="10" t="s">
        <v>240</v>
      </c>
      <c r="AR134" s="10" t="s">
        <v>236</v>
      </c>
      <c r="AS134">
        <v>210.22</v>
      </c>
    </row>
    <row r="135" spans="1:45" ht="13" customHeight="1">
      <c r="A135" s="7" t="s">
        <v>129</v>
      </c>
      <c r="B135" s="7" t="s">
        <v>65</v>
      </c>
      <c r="C135" s="4">
        <v>4.3438077907105104</v>
      </c>
      <c r="D135" s="4">
        <f t="shared" ref="D135:D137" si="165">POWER(10,C135)</f>
        <v>22070.277343749611</v>
      </c>
      <c r="E135" s="13">
        <f t="shared" si="163"/>
        <v>17.325167714843445</v>
      </c>
      <c r="F135" s="13">
        <f t="shared" si="164"/>
        <v>21.720815502520818</v>
      </c>
      <c r="G135" s="13">
        <f t="shared" si="135"/>
        <v>1.0635370741477226</v>
      </c>
      <c r="H135" s="4">
        <v>4.5798718483599004</v>
      </c>
      <c r="I135" s="9">
        <f t="shared" ref="I135:I137" si="166">POWER(10,H135)</f>
        <v>38007.722656249622</v>
      </c>
      <c r="J135" s="13">
        <f t="shared" si="161"/>
        <v>29.836062285155954</v>
      </c>
      <c r="K135" s="13">
        <f t="shared" si="162"/>
        <v>52.993126686902905</v>
      </c>
      <c r="L135" s="13">
        <f t="shared" si="136"/>
        <v>3.424177650641627</v>
      </c>
      <c r="M135" s="3">
        <v>-631</v>
      </c>
      <c r="N135" s="3">
        <v>-491</v>
      </c>
      <c r="O135" s="3">
        <f t="shared" ref="O135:O146" si="167">N135-M135</f>
        <v>140</v>
      </c>
      <c r="P135" s="13">
        <v>0.34300000000000003</v>
      </c>
      <c r="Q135" s="13">
        <f t="shared" ref="Q135:Q140" si="168">1000*P135/(0.785)</f>
        <v>436.94267515923565</v>
      </c>
      <c r="R135" s="13">
        <f t="shared" ref="R135:R140" si="169">(1-Q135/603.822)*100</f>
        <v>27.637172021020163</v>
      </c>
      <c r="S135" s="13">
        <f t="shared" ref="S135:S186" si="170">10*LOG10(603.822/Q135)</f>
        <v>1.4048446901417688</v>
      </c>
      <c r="T135" s="43">
        <v>202</v>
      </c>
      <c r="U135" s="43">
        <v>103</v>
      </c>
      <c r="V135" s="4">
        <v>28685</v>
      </c>
      <c r="W135" s="4">
        <v>31535</v>
      </c>
      <c r="X135" s="4">
        <v>28740</v>
      </c>
      <c r="Y135" s="4">
        <v>43746</v>
      </c>
      <c r="Z135" s="4">
        <v>31869</v>
      </c>
      <c r="AA135" s="4">
        <v>28467</v>
      </c>
      <c r="AB135" s="4">
        <v>23436</v>
      </c>
      <c r="AC135" s="4">
        <v>19865</v>
      </c>
      <c r="AD135" s="13">
        <f t="shared" si="142"/>
        <v>2.9523981811201323</v>
      </c>
      <c r="AE135" s="13">
        <f t="shared" si="143"/>
        <v>3.0123662217580205</v>
      </c>
      <c r="AF135" s="13">
        <f t="shared" si="144"/>
        <v>2.4736622254015748</v>
      </c>
      <c r="AG135" s="13">
        <f t="shared" si="145"/>
        <v>4.2553874752509815</v>
      </c>
      <c r="AH135" s="13">
        <f t="shared" si="146"/>
        <v>3.2028848963138579</v>
      </c>
      <c r="AI135" s="13">
        <f t="shared" si="147"/>
        <v>3.4821882734839349</v>
      </c>
      <c r="AJ135" s="13">
        <f t="shared" si="148"/>
        <v>2.3208644627729265</v>
      </c>
      <c r="AK135" s="15">
        <f t="shared" si="138"/>
        <v>15.594025000000002</v>
      </c>
      <c r="AL135" s="13">
        <f t="shared" si="128"/>
        <v>27.717090359929529</v>
      </c>
      <c r="AM135" s="13">
        <f t="shared" si="149"/>
        <v>1.4096437388651237</v>
      </c>
      <c r="AN135" s="17">
        <f t="shared" si="139"/>
        <v>21.635842916666668</v>
      </c>
      <c r="AO135" s="13">
        <f t="shared" si="129"/>
        <v>49.320208867141638</v>
      </c>
      <c r="AP135" s="13">
        <f t="shared" si="150"/>
        <v>2.9515568630701323</v>
      </c>
      <c r="AQ135" s="10" t="s">
        <v>237</v>
      </c>
      <c r="AR135" s="10" t="s">
        <v>235</v>
      </c>
      <c r="AS135">
        <v>69.069999999999993</v>
      </c>
    </row>
    <row r="136" spans="1:45" ht="14">
      <c r="A136" s="7" t="s">
        <v>129</v>
      </c>
      <c r="B136" s="7" t="s">
        <v>65</v>
      </c>
      <c r="C136" s="4">
        <v>4.31218963329981</v>
      </c>
      <c r="D136" s="4">
        <f t="shared" si="165"/>
        <v>20520.580078124625</v>
      </c>
      <c r="E136" s="13">
        <f t="shared" si="163"/>
        <v>16.10865536132783</v>
      </c>
      <c r="F136" s="13">
        <f t="shared" si="164"/>
        <v>15.809236116886616</v>
      </c>
      <c r="G136" s="13">
        <f t="shared" si="135"/>
        <v>0.74735550004071893</v>
      </c>
      <c r="H136" s="4">
        <v>4.2810808833712297</v>
      </c>
      <c r="I136" s="9">
        <f t="shared" si="166"/>
        <v>19102.089843749927</v>
      </c>
      <c r="J136" s="13">
        <f t="shared" si="161"/>
        <v>14.995140527343693</v>
      </c>
      <c r="K136" s="13">
        <f t="shared" si="162"/>
        <v>6.4696994708028139</v>
      </c>
      <c r="L136" s="13">
        <f t="shared" si="136"/>
        <v>0.4362680007549205</v>
      </c>
      <c r="M136" s="3">
        <v>-645</v>
      </c>
      <c r="N136" s="3">
        <v>-504</v>
      </c>
      <c r="O136" s="3">
        <f t="shared" si="167"/>
        <v>141</v>
      </c>
      <c r="P136" s="13">
        <v>0.39900000000000002</v>
      </c>
      <c r="Q136" s="13">
        <f t="shared" si="168"/>
        <v>508.28025477707007</v>
      </c>
      <c r="R136" s="13">
        <f t="shared" si="169"/>
        <v>15.8228327591459</v>
      </c>
      <c r="S136" s="13">
        <f t="shared" si="170"/>
        <v>0.74805693370199111</v>
      </c>
      <c r="T136" s="43">
        <v>190</v>
      </c>
      <c r="U136" s="43">
        <v>100</v>
      </c>
      <c r="V136" s="4">
        <v>21162</v>
      </c>
      <c r="W136" s="4">
        <v>21608</v>
      </c>
      <c r="X136" s="4">
        <v>17746</v>
      </c>
      <c r="Y136" s="4">
        <v>30651</v>
      </c>
      <c r="Z136" s="4">
        <v>25870</v>
      </c>
      <c r="AA136" s="4">
        <v>21499</v>
      </c>
      <c r="AB136" s="4">
        <v>13902</v>
      </c>
      <c r="AC136" s="4">
        <v>16690</v>
      </c>
      <c r="AD136" s="13">
        <f t="shared" si="142"/>
        <v>1.6314167394468673</v>
      </c>
      <c r="AE136" s="13">
        <f t="shared" si="143"/>
        <v>1.3705835802585797</v>
      </c>
      <c r="AF136" s="13">
        <f t="shared" si="144"/>
        <v>0.37979935924872948</v>
      </c>
      <c r="AG136" s="13">
        <f t="shared" si="145"/>
        <v>2.7104504700678604</v>
      </c>
      <c r="AH136" s="13">
        <f t="shared" si="146"/>
        <v>2.2971648215049325</v>
      </c>
      <c r="AI136" s="13">
        <f t="shared" si="147"/>
        <v>2.2629538569583079</v>
      </c>
      <c r="AJ136" s="13">
        <f t="shared" si="148"/>
        <v>5.2802411154326975E-2</v>
      </c>
      <c r="AK136" s="15">
        <f t="shared" si="138"/>
        <v>13.101649999999999</v>
      </c>
      <c r="AL136" s="13">
        <f t="shared" si="128"/>
        <v>13.966446974236069</v>
      </c>
      <c r="AM136" s="13">
        <f t="shared" si="149"/>
        <v>0.65332141174377378</v>
      </c>
      <c r="AN136" s="17">
        <f t="shared" si="139"/>
        <v>15.681536145833332</v>
      </c>
      <c r="AO136" s="13">
        <f t="shared" si="129"/>
        <v>30.077003311225614</v>
      </c>
      <c r="AP136" s="13">
        <f t="shared" si="150"/>
        <v>1.5537047008280567</v>
      </c>
      <c r="AQ136" s="10" t="s">
        <v>237</v>
      </c>
      <c r="AR136" s="10" t="s">
        <v>235</v>
      </c>
      <c r="AS136">
        <v>69.069999999999993</v>
      </c>
    </row>
    <row r="137" spans="1:45" ht="14">
      <c r="A137" s="7" t="s">
        <v>129</v>
      </c>
      <c r="B137" s="7" t="s">
        <v>65</v>
      </c>
      <c r="C137" s="4">
        <v>4.1636784532392896</v>
      </c>
      <c r="D137" s="4">
        <f t="shared" si="165"/>
        <v>14577.345703124714</v>
      </c>
      <c r="E137" s="13">
        <f t="shared" si="163"/>
        <v>11.443216376952902</v>
      </c>
      <c r="F137" s="13">
        <f t="shared" si="164"/>
        <v>-18.515630162463871</v>
      </c>
      <c r="G137" s="13">
        <f t="shared" si="135"/>
        <v>-0.73775630056448105</v>
      </c>
      <c r="H137" s="4">
        <v>4.4348145409990503</v>
      </c>
      <c r="I137" s="9">
        <f t="shared" si="166"/>
        <v>27215.388671875018</v>
      </c>
      <c r="J137" s="13">
        <f t="shared" si="161"/>
        <v>21.364080107421891</v>
      </c>
      <c r="K137" s="13">
        <f t="shared" si="162"/>
        <v>34.352427394579422</v>
      </c>
      <c r="L137" s="13">
        <f t="shared" si="136"/>
        <v>1.973604577033127</v>
      </c>
      <c r="M137" s="3">
        <v>-680</v>
      </c>
      <c r="N137" s="3">
        <v>-514</v>
      </c>
      <c r="O137" s="3">
        <f t="shared" si="167"/>
        <v>166</v>
      </c>
      <c r="P137" s="13">
        <v>0.40600000000000003</v>
      </c>
      <c r="Q137" s="13">
        <f t="shared" si="168"/>
        <v>517.1974522292993</v>
      </c>
      <c r="R137" s="13">
        <f t="shared" si="169"/>
        <v>14.346040351411627</v>
      </c>
      <c r="S137" s="13">
        <f t="shared" si="170"/>
        <v>0.67252555479753284</v>
      </c>
      <c r="T137" s="43">
        <v>211</v>
      </c>
      <c r="U137" s="43">
        <v>135</v>
      </c>
      <c r="V137" s="4">
        <v>10637</v>
      </c>
      <c r="W137" s="4">
        <v>22765</v>
      </c>
      <c r="X137" s="4">
        <v>27344</v>
      </c>
      <c r="Y137" s="4">
        <v>35947</v>
      </c>
      <c r="Z137" s="4">
        <v>27125</v>
      </c>
      <c r="AA137" s="4">
        <v>20417</v>
      </c>
      <c r="AB137" s="4">
        <v>16242</v>
      </c>
      <c r="AC137" s="4">
        <v>13900</v>
      </c>
      <c r="AD137" s="13">
        <f t="shared" si="142"/>
        <v>-1.3559587686521988</v>
      </c>
      <c r="AE137" s="13">
        <f t="shared" si="143"/>
        <v>1.5971144149067209</v>
      </c>
      <c r="AF137" s="13">
        <f t="shared" si="144"/>
        <v>2.2574150411861229</v>
      </c>
      <c r="AG137" s="13">
        <f t="shared" si="145"/>
        <v>3.4026305057046224</v>
      </c>
      <c r="AH137" s="13">
        <f t="shared" si="146"/>
        <v>2.5028980029053578</v>
      </c>
      <c r="AI137" s="13">
        <f t="shared" si="147"/>
        <v>2.0386905477452579</v>
      </c>
      <c r="AJ137" s="13">
        <f t="shared" si="148"/>
        <v>0.72842463095963539</v>
      </c>
      <c r="AK137" s="15">
        <f t="shared" si="138"/>
        <v>10.9115</v>
      </c>
      <c r="AL137" s="13">
        <f t="shared" si="128"/>
        <v>-3.3021582733812949</v>
      </c>
      <c r="AM137" s="13">
        <f t="shared" si="149"/>
        <v>-0.14109395250774209</v>
      </c>
      <c r="AN137" s="17">
        <f t="shared" si="139"/>
        <v>16.4420703125</v>
      </c>
      <c r="AO137" s="13">
        <f t="shared" si="129"/>
        <v>33.311317908281204</v>
      </c>
      <c r="AP137" s="13">
        <f t="shared" si="150"/>
        <v>1.7593836772653637</v>
      </c>
      <c r="AQ137" s="10" t="s">
        <v>237</v>
      </c>
      <c r="AR137" s="10" t="s">
        <v>235</v>
      </c>
      <c r="AS137">
        <v>69.069999999999993</v>
      </c>
    </row>
    <row r="138" spans="1:45" ht="13" customHeight="1">
      <c r="A138" s="7" t="s">
        <v>130</v>
      </c>
      <c r="B138" s="7" t="s">
        <v>66</v>
      </c>
      <c r="C138" s="4">
        <v>4.1663074874866597</v>
      </c>
      <c r="D138" s="4">
        <f t="shared" ref="D138:D140" si="171">POWER(10,C138)</f>
        <v>14665.858398437231</v>
      </c>
      <c r="E138" s="13">
        <f t="shared" si="163"/>
        <v>11.512698842773228</v>
      </c>
      <c r="F138" s="13">
        <f t="shared" si="164"/>
        <v>-17.800354071740209</v>
      </c>
      <c r="G138" s="13">
        <f t="shared" si="135"/>
        <v>-0.71146595809078383</v>
      </c>
      <c r="H138" s="4">
        <v>4.2020363215465304</v>
      </c>
      <c r="I138" s="9">
        <f t="shared" ref="I138:I140" si="172">POWER(10,H138)</f>
        <v>15923.418945312244</v>
      </c>
      <c r="J138" s="13">
        <f t="shared" si="161"/>
        <v>12.499883872070111</v>
      </c>
      <c r="K138" s="13">
        <f t="shared" si="162"/>
        <v>-12.201042373982585</v>
      </c>
      <c r="L138" s="13">
        <f t="shared" si="136"/>
        <v>-0.35417761749207771</v>
      </c>
      <c r="M138" s="3">
        <v>-594</v>
      </c>
      <c r="N138" s="3">
        <v>-508</v>
      </c>
      <c r="O138" s="3">
        <f t="shared" si="167"/>
        <v>86</v>
      </c>
      <c r="P138" s="13">
        <v>0.51900000000000002</v>
      </c>
      <c r="Q138" s="13">
        <f t="shared" si="168"/>
        <v>661.14649681528658</v>
      </c>
      <c r="R138" s="13">
        <f t="shared" si="169"/>
        <v>-9.493608516298945</v>
      </c>
      <c r="S138" s="13">
        <f t="shared" si="170"/>
        <v>-0.39388768791510465</v>
      </c>
      <c r="T138" s="43">
        <v>158</v>
      </c>
      <c r="U138" s="43">
        <v>161</v>
      </c>
      <c r="V138" s="4">
        <v>13119</v>
      </c>
      <c r="W138" s="4">
        <v>18489</v>
      </c>
      <c r="X138" s="4">
        <v>14233</v>
      </c>
      <c r="Y138" s="4">
        <v>16518</v>
      </c>
      <c r="Z138" s="4">
        <v>14778</v>
      </c>
      <c r="AA138" s="4">
        <v>6828</v>
      </c>
      <c r="AB138" s="4">
        <v>5444</v>
      </c>
      <c r="AC138" s="4">
        <v>6198</v>
      </c>
      <c r="AD138" s="13">
        <f t="shared" si="142"/>
        <v>-0.44514304041927139</v>
      </c>
      <c r="AE138" s="13">
        <f t="shared" si="143"/>
        <v>0.69357209296801325</v>
      </c>
      <c r="AF138" s="13">
        <f t="shared" si="144"/>
        <v>-0.57824091902744112</v>
      </c>
      <c r="AG138" s="13">
        <f t="shared" si="145"/>
        <v>2.5578606830840518E-2</v>
      </c>
      <c r="AH138" s="13">
        <f t="shared" si="146"/>
        <v>-0.13464284343303343</v>
      </c>
      <c r="AI138" s="13">
        <f t="shared" si="147"/>
        <v>-2.7182936156395821</v>
      </c>
      <c r="AJ138" s="13">
        <f t="shared" si="148"/>
        <v>-4.0187892652688948</v>
      </c>
      <c r="AK138" s="15">
        <f t="shared" si="138"/>
        <v>4.8654299999999999</v>
      </c>
      <c r="AL138" s="13">
        <f t="shared" si="128"/>
        <v>-131.67150693772186</v>
      </c>
      <c r="AM138" s="13">
        <f t="shared" si="149"/>
        <v>-3.6487262360160511</v>
      </c>
      <c r="AN138" s="17">
        <f t="shared" si="139"/>
        <v>7.2986192708333331</v>
      </c>
      <c r="AO138" s="13">
        <f t="shared" si="129"/>
        <v>-50.233894838414429</v>
      </c>
      <c r="AP138" s="13">
        <f t="shared" si="150"/>
        <v>-1.7677742388721347</v>
      </c>
      <c r="AQ138" s="10" t="s">
        <v>239</v>
      </c>
      <c r="AR138" s="10" t="s">
        <v>236</v>
      </c>
      <c r="AS138">
        <v>191.27</v>
      </c>
    </row>
    <row r="139" spans="1:45" ht="14">
      <c r="A139" s="7" t="s">
        <v>130</v>
      </c>
      <c r="B139" s="7" t="s">
        <v>66</v>
      </c>
      <c r="C139" s="4">
        <v>4.0013472323167898</v>
      </c>
      <c r="D139" s="4">
        <f t="shared" si="171"/>
        <v>10031.069335937425</v>
      </c>
      <c r="E139" s="13">
        <f t="shared" si="163"/>
        <v>7.87438942871088</v>
      </c>
      <c r="F139" s="13">
        <f t="shared" si="164"/>
        <v>-72.229226440738032</v>
      </c>
      <c r="G139" s="13">
        <f t="shared" si="135"/>
        <v>-2.3610685097894777</v>
      </c>
      <c r="H139" s="4">
        <v>4.2359822601035901</v>
      </c>
      <c r="I139" s="9">
        <f t="shared" si="172"/>
        <v>17217.982421874778</v>
      </c>
      <c r="J139" s="13">
        <f t="shared" si="161"/>
        <v>13.5161162011717</v>
      </c>
      <c r="K139" s="13">
        <f t="shared" si="162"/>
        <v>-3.7650149736370597</v>
      </c>
      <c r="L139" s="13">
        <f t="shared" si="136"/>
        <v>-1.471823192147485E-2</v>
      </c>
      <c r="M139" s="3">
        <v>-562</v>
      </c>
      <c r="N139" s="3">
        <v>-490</v>
      </c>
      <c r="O139" s="3">
        <f t="shared" si="167"/>
        <v>72</v>
      </c>
      <c r="P139" s="13">
        <v>0.47499999999999998</v>
      </c>
      <c r="Q139" s="13">
        <f t="shared" si="168"/>
        <v>605.09554140127386</v>
      </c>
      <c r="R139" s="13">
        <f t="shared" si="169"/>
        <v>-0.21091338196916887</v>
      </c>
      <c r="S139" s="13">
        <f t="shared" si="170"/>
        <v>-9.1502056791921398E-3</v>
      </c>
      <c r="T139" s="43">
        <v>106</v>
      </c>
      <c r="U139" s="43">
        <v>105</v>
      </c>
      <c r="V139" s="4">
        <v>11813</v>
      </c>
      <c r="W139" s="4">
        <v>10118</v>
      </c>
      <c r="X139" s="4">
        <v>16332</v>
      </c>
      <c r="Y139" s="4">
        <v>14365</v>
      </c>
      <c r="Z139" s="4">
        <v>16823</v>
      </c>
      <c r="AA139" s="4">
        <v>8361</v>
      </c>
      <c r="AB139" s="4">
        <v>10804</v>
      </c>
      <c r="AC139" s="4">
        <v>10831</v>
      </c>
      <c r="AD139" s="13">
        <f t="shared" si="142"/>
        <v>-0.90054832142958119</v>
      </c>
      <c r="AE139" s="13">
        <f t="shared" si="143"/>
        <v>-1.9246153808098796</v>
      </c>
      <c r="AF139" s="13">
        <f t="shared" si="144"/>
        <v>1.9188299929101309E-2</v>
      </c>
      <c r="AG139" s="13">
        <f t="shared" si="145"/>
        <v>-0.58093970765923553</v>
      </c>
      <c r="AH139" s="13">
        <f t="shared" si="146"/>
        <v>0.42823498360109957</v>
      </c>
      <c r="AI139" s="13">
        <f t="shared" si="147"/>
        <v>-1.8386465057368759</v>
      </c>
      <c r="AJ139" s="13">
        <f t="shared" si="148"/>
        <v>-1.0421246754277327</v>
      </c>
      <c r="AK139" s="15">
        <f t="shared" si="138"/>
        <v>8.5023350000000004</v>
      </c>
      <c r="AL139" s="13">
        <f t="shared" si="128"/>
        <v>-32.573169605761244</v>
      </c>
      <c r="AM139" s="13">
        <f t="shared" si="149"/>
        <v>-1.2245563967062858</v>
      </c>
      <c r="AN139" s="17">
        <f t="shared" si="139"/>
        <v>9.1187644270833328</v>
      </c>
      <c r="AO139" s="13">
        <f t="shared" si="129"/>
        <v>-20.246554099294698</v>
      </c>
      <c r="AP139" s="13">
        <f t="shared" si="150"/>
        <v>-0.8008213700472967</v>
      </c>
      <c r="AQ139" s="10" t="s">
        <v>239</v>
      </c>
      <c r="AR139" s="10" t="s">
        <v>236</v>
      </c>
      <c r="AS139">
        <v>191.27</v>
      </c>
    </row>
    <row r="140" spans="1:45" ht="14">
      <c r="A140" s="7" t="s">
        <v>130</v>
      </c>
      <c r="B140" s="7" t="s">
        <v>66</v>
      </c>
      <c r="C140" s="4">
        <v>4.0489828019706398</v>
      </c>
      <c r="D140" s="4">
        <f t="shared" si="171"/>
        <v>11193.935546874809</v>
      </c>
      <c r="E140" s="13">
        <f t="shared" si="163"/>
        <v>8.7872394042967255</v>
      </c>
      <c r="F140" s="13">
        <f t="shared" si="164"/>
        <v>-54.337436093621669</v>
      </c>
      <c r="G140" s="13">
        <f t="shared" si="135"/>
        <v>-1.8847128132509841</v>
      </c>
      <c r="H140" s="4">
        <v>4.1895698383933899</v>
      </c>
      <c r="I140" s="9">
        <f t="shared" si="172"/>
        <v>15472.833007812451</v>
      </c>
      <c r="J140" s="13">
        <f t="shared" si="161"/>
        <v>12.146173911132776</v>
      </c>
      <c r="K140" s="13">
        <f t="shared" si="162"/>
        <v>-15.468460295510479</v>
      </c>
      <c r="L140" s="13">
        <f t="shared" si="136"/>
        <v>-0.47884244902347728</v>
      </c>
      <c r="M140" s="3">
        <v>-559</v>
      </c>
      <c r="N140" s="3">
        <v>-499</v>
      </c>
      <c r="O140" s="3">
        <f t="shared" si="167"/>
        <v>60</v>
      </c>
      <c r="P140" s="13">
        <v>0.55100000000000005</v>
      </c>
      <c r="Q140" s="13">
        <f t="shared" si="168"/>
        <v>701.91082802547771</v>
      </c>
      <c r="R140" s="13">
        <f t="shared" si="169"/>
        <v>-16.244659523084248</v>
      </c>
      <c r="S140" s="13">
        <f t="shared" si="170"/>
        <v>-0.65373009794837733</v>
      </c>
      <c r="T140" s="43">
        <v>136</v>
      </c>
      <c r="U140" s="43">
        <v>132</v>
      </c>
      <c r="V140" s="4">
        <v>17713</v>
      </c>
      <c r="W140" s="4">
        <v>15315</v>
      </c>
      <c r="X140" s="4">
        <v>21601</v>
      </c>
      <c r="Y140" s="4">
        <v>19211</v>
      </c>
      <c r="Z140" s="4">
        <v>15869</v>
      </c>
      <c r="AA140" s="4">
        <v>10362</v>
      </c>
      <c r="AB140" s="4">
        <v>11747</v>
      </c>
      <c r="AC140" s="4">
        <v>16665</v>
      </c>
      <c r="AD140" s="13">
        <f t="shared" si="142"/>
        <v>0.85877086523868984</v>
      </c>
      <c r="AE140" s="13">
        <f t="shared" si="143"/>
        <v>-0.1243921201094504</v>
      </c>
      <c r="AF140" s="13">
        <f t="shared" si="144"/>
        <v>1.2335331565348806</v>
      </c>
      <c r="AG140" s="13">
        <f t="shared" si="145"/>
        <v>0.68150370908794511</v>
      </c>
      <c r="AH140" s="13">
        <f t="shared" si="146"/>
        <v>0.17469613574724036</v>
      </c>
      <c r="AI140" s="13">
        <f t="shared" si="147"/>
        <v>-0.90679286055551778</v>
      </c>
      <c r="AJ140" s="13">
        <f t="shared" si="148"/>
        <v>-0.6787007430571419</v>
      </c>
      <c r="AK140" s="15">
        <f t="shared" si="138"/>
        <v>13.082025</v>
      </c>
      <c r="AL140" s="13">
        <f t="shared" si="128"/>
        <v>13.837383738373832</v>
      </c>
      <c r="AM140" s="13">
        <f t="shared" si="149"/>
        <v>0.64681122491679499</v>
      </c>
      <c r="AN140" s="17">
        <f t="shared" si="139"/>
        <v>10.793651875</v>
      </c>
      <c r="AO140" s="13">
        <f t="shared" si="129"/>
        <v>-1.5874898225768375</v>
      </c>
      <c r="AP140" s="13">
        <f t="shared" si="150"/>
        <v>-6.8497265917932162E-2</v>
      </c>
      <c r="AQ140" s="10" t="s">
        <v>239</v>
      </c>
      <c r="AR140" s="10" t="s">
        <v>236</v>
      </c>
      <c r="AS140">
        <v>191.27</v>
      </c>
    </row>
    <row r="141" spans="1:45" ht="13" customHeight="1">
      <c r="A141" s="7" t="s">
        <v>131</v>
      </c>
      <c r="B141" s="7" t="s">
        <v>67</v>
      </c>
      <c r="C141" s="4">
        <v>3.7814956049735899</v>
      </c>
      <c r="D141" s="4">
        <f t="shared" ref="D141:D143" si="173">POWER(10,C141)</f>
        <v>6046.3823242187018</v>
      </c>
      <c r="E141" s="13">
        <f t="shared" si="163"/>
        <v>4.746410124511681</v>
      </c>
      <c r="F141" s="13">
        <f t="shared" si="164"/>
        <v>-185.7317350214291</v>
      </c>
      <c r="G141" s="13">
        <f t="shared" si="135"/>
        <v>-4.5595847832214762</v>
      </c>
      <c r="H141" s="4">
        <v>3.7241593822047201</v>
      </c>
      <c r="I141" s="9">
        <f t="shared" ref="I141:I143" si="174">POWER(10,H141)</f>
        <v>5298.5786132811609</v>
      </c>
      <c r="J141" s="13">
        <f t="shared" si="161"/>
        <v>4.1593842114257109</v>
      </c>
      <c r="K141" s="13">
        <f t="shared" si="162"/>
        <v>-237.18933589913914</v>
      </c>
      <c r="L141" s="13">
        <f t="shared" si="136"/>
        <v>-5.1329470109101756</v>
      </c>
      <c r="M141" s="3">
        <v>-519</v>
      </c>
      <c r="N141" s="3">
        <v>-472</v>
      </c>
      <c r="O141" s="3">
        <f t="shared" si="167"/>
        <v>47</v>
      </c>
      <c r="P141" s="13">
        <v>1.532</v>
      </c>
      <c r="Q141" s="13">
        <f t="shared" ref="Q141:Q208" si="175">1000*P141/(0.785)</f>
        <v>1951.592356687898</v>
      </c>
      <c r="R141" s="13">
        <f t="shared" ref="R141:R208" si="176">(1-Q141/603.822)*100</f>
        <v>-223.20656694984581</v>
      </c>
      <c r="S141" s="13">
        <f t="shared" si="170"/>
        <v>-5.0948017623963784</v>
      </c>
      <c r="T141" s="43">
        <v>56</v>
      </c>
      <c r="U141" s="43">
        <v>145</v>
      </c>
      <c r="V141" s="4">
        <v>3510</v>
      </c>
      <c r="W141" s="4">
        <v>4616</v>
      </c>
      <c r="X141" s="4">
        <v>5315</v>
      </c>
      <c r="Y141" s="4">
        <v>5788</v>
      </c>
      <c r="Z141" s="4">
        <v>6225</v>
      </c>
      <c r="AA141" s="4">
        <v>5928</v>
      </c>
      <c r="AB141" s="4">
        <v>7753</v>
      </c>
      <c r="AC141" s="4">
        <v>6198</v>
      </c>
      <c r="AD141" s="13">
        <f t="shared" si="142"/>
        <v>-6.1710791964062253</v>
      </c>
      <c r="AE141" s="13">
        <f t="shared" si="143"/>
        <v>-5.3329041300586155</v>
      </c>
      <c r="AF141" s="13">
        <f t="shared" si="144"/>
        <v>-4.8561727239873376</v>
      </c>
      <c r="AG141" s="13">
        <f t="shared" si="145"/>
        <v>-4.5287107864689</v>
      </c>
      <c r="AH141" s="13">
        <f t="shared" si="146"/>
        <v>-3.8894059079827628</v>
      </c>
      <c r="AI141" s="13">
        <f t="shared" si="147"/>
        <v>-3.3321467903538244</v>
      </c>
      <c r="AJ141" s="13">
        <f t="shared" si="148"/>
        <v>-2.483272590886791</v>
      </c>
      <c r="AK141" s="15">
        <f t="shared" si="138"/>
        <v>4.8654299999999999</v>
      </c>
      <c r="AL141" s="13">
        <f t="shared" si="128"/>
        <v>-131.67150693772186</v>
      </c>
      <c r="AM141" s="13">
        <f t="shared" si="149"/>
        <v>-3.6487262360160511</v>
      </c>
      <c r="AN141" s="17">
        <f t="shared" si="139"/>
        <v>4.9037314583333336</v>
      </c>
      <c r="AO141" s="13">
        <f t="shared" si="129"/>
        <v>-123.60522987787657</v>
      </c>
      <c r="AP141" s="13">
        <f t="shared" si="150"/>
        <v>-3.4949145433874373</v>
      </c>
      <c r="AQ141" s="10" t="s">
        <v>240</v>
      </c>
      <c r="AR141" s="10" t="s">
        <v>235</v>
      </c>
      <c r="AS141">
        <v>168.12</v>
      </c>
    </row>
    <row r="142" spans="1:45" ht="14">
      <c r="A142" s="7" t="s">
        <v>131</v>
      </c>
      <c r="B142" s="7" t="s">
        <v>67</v>
      </c>
      <c r="C142" s="4">
        <v>3.8440779959440001</v>
      </c>
      <c r="D142" s="4">
        <f t="shared" si="173"/>
        <v>6983.5781249999291</v>
      </c>
      <c r="E142" s="13">
        <f t="shared" si="163"/>
        <v>5.4821088281249448</v>
      </c>
      <c r="F142" s="13">
        <f t="shared" si="164"/>
        <v>-147.3865518762172</v>
      </c>
      <c r="G142" s="13">
        <f t="shared" si="135"/>
        <v>-3.9337608735173757</v>
      </c>
      <c r="H142" s="4">
        <v>3.8723611093236201</v>
      </c>
      <c r="I142" s="9">
        <f t="shared" si="174"/>
        <v>7453.5146484373427</v>
      </c>
      <c r="J142" s="13">
        <f t="shared" si="161"/>
        <v>5.8510089990233149</v>
      </c>
      <c r="K142" s="13">
        <f t="shared" si="162"/>
        <v>-139.70224626797082</v>
      </c>
      <c r="L142" s="13">
        <f t="shared" si="136"/>
        <v>-3.6509297397211782</v>
      </c>
      <c r="M142" s="3">
        <v>-491</v>
      </c>
      <c r="N142" s="3">
        <v>-467</v>
      </c>
      <c r="O142" s="3">
        <f t="shared" si="167"/>
        <v>24</v>
      </c>
      <c r="P142" s="13">
        <v>2.1970000000000001</v>
      </c>
      <c r="Q142" s="13">
        <f t="shared" si="175"/>
        <v>2798.7261146496812</v>
      </c>
      <c r="R142" s="13">
        <f t="shared" si="176"/>
        <v>-363.50184568460264</v>
      </c>
      <c r="S142" s="13">
        <f t="shared" si="170"/>
        <v>-6.6605146786356295</v>
      </c>
      <c r="T142" s="43">
        <v>19</v>
      </c>
      <c r="U142" s="43">
        <v>186</v>
      </c>
      <c r="V142" s="4">
        <v>6054</v>
      </c>
      <c r="W142" s="4">
        <v>6372</v>
      </c>
      <c r="X142" s="4">
        <v>6563</v>
      </c>
      <c r="Y142" s="4">
        <v>8660</v>
      </c>
      <c r="Z142" s="4">
        <v>7359</v>
      </c>
      <c r="AA142" s="4">
        <v>5981</v>
      </c>
      <c r="AB142" s="4">
        <v>9967</v>
      </c>
      <c r="AC142" s="4">
        <v>10573</v>
      </c>
      <c r="AD142" s="13">
        <f t="shared" si="142"/>
        <v>-3.8037261948589247</v>
      </c>
      <c r="AE142" s="13">
        <f t="shared" si="143"/>
        <v>-3.9328044602444261</v>
      </c>
      <c r="AF142" s="13">
        <f t="shared" si="144"/>
        <v>-3.9401813700112625</v>
      </c>
      <c r="AG142" s="13">
        <f t="shared" si="145"/>
        <v>-2.7788170907654317</v>
      </c>
      <c r="AH142" s="13">
        <f t="shared" si="146"/>
        <v>-3.1626114364000202</v>
      </c>
      <c r="AI142" s="13">
        <f t="shared" si="147"/>
        <v>-3.293490715945472</v>
      </c>
      <c r="AJ142" s="13">
        <f t="shared" si="148"/>
        <v>-1.392325847972449</v>
      </c>
      <c r="AK142" s="15">
        <f t="shared" si="138"/>
        <v>8.299805000000001</v>
      </c>
      <c r="AL142" s="13">
        <f t="shared" si="128"/>
        <v>-35.80819067435921</v>
      </c>
      <c r="AM142" s="13">
        <f t="shared" si="149"/>
        <v>-1.3292596329800075</v>
      </c>
      <c r="AN142" s="17">
        <f t="shared" si="139"/>
        <v>6.23741375</v>
      </c>
      <c r="AO142" s="13">
        <f t="shared" si="129"/>
        <v>-75.794013985363719</v>
      </c>
      <c r="AP142" s="13">
        <f t="shared" si="150"/>
        <v>-2.4501358003819997</v>
      </c>
      <c r="AQ142" s="10" t="s">
        <v>240</v>
      </c>
      <c r="AR142" s="10" t="s">
        <v>235</v>
      </c>
      <c r="AS142">
        <v>168.12</v>
      </c>
    </row>
    <row r="143" spans="1:45" ht="14">
      <c r="A143" s="7" t="s">
        <v>131</v>
      </c>
      <c r="B143" s="7" t="s">
        <v>67</v>
      </c>
      <c r="C143" s="4">
        <v>3.87678610516407</v>
      </c>
      <c r="D143" s="4">
        <f t="shared" si="173"/>
        <v>7529.8461914060981</v>
      </c>
      <c r="E143" s="13">
        <f t="shared" si="163"/>
        <v>5.9109292602537868</v>
      </c>
      <c r="F143" s="13">
        <f t="shared" si="164"/>
        <v>-129.43938935614517</v>
      </c>
      <c r="G143" s="13">
        <f t="shared" si="135"/>
        <v>-3.6066797813166769</v>
      </c>
      <c r="H143" s="4">
        <v>3.75410466217228</v>
      </c>
      <c r="I143" s="9">
        <f t="shared" si="174"/>
        <v>5676.8139648437627</v>
      </c>
      <c r="J143" s="13">
        <f t="shared" si="161"/>
        <v>4.4562989624023537</v>
      </c>
      <c r="K143" s="13">
        <f t="shared" si="162"/>
        <v>-214.72304973989534</v>
      </c>
      <c r="L143" s="13">
        <f t="shared" si="136"/>
        <v>-4.8334942112345773</v>
      </c>
      <c r="M143" s="3">
        <v>-536</v>
      </c>
      <c r="N143" s="3">
        <v>-474</v>
      </c>
      <c r="O143" s="3">
        <f t="shared" si="167"/>
        <v>62</v>
      </c>
      <c r="P143" s="13">
        <v>1.111</v>
      </c>
      <c r="Q143" s="13">
        <f t="shared" si="175"/>
        <v>1415.2866242038217</v>
      </c>
      <c r="R143" s="13">
        <f t="shared" si="176"/>
        <v>-134.38805214182685</v>
      </c>
      <c r="S143" s="13">
        <f t="shared" si="170"/>
        <v>-3.699354698839203</v>
      </c>
      <c r="T143" s="43">
        <v>118</v>
      </c>
      <c r="U143" s="43">
        <v>121</v>
      </c>
      <c r="V143" s="4">
        <v>3367</v>
      </c>
      <c r="W143" s="4">
        <v>3843</v>
      </c>
      <c r="X143" s="4">
        <v>4698</v>
      </c>
      <c r="Y143" s="4">
        <v>5357</v>
      </c>
      <c r="Z143" s="4">
        <v>6795</v>
      </c>
      <c r="AA143" s="4">
        <v>5435</v>
      </c>
      <c r="AB143" s="4">
        <v>6840</v>
      </c>
      <c r="AC143" s="4">
        <v>9205</v>
      </c>
      <c r="AD143" s="13">
        <f t="shared" si="142"/>
        <v>-6.3517191971835798</v>
      </c>
      <c r="AE143" s="13">
        <f t="shared" si="143"/>
        <v>-6.1288582868918775</v>
      </c>
      <c r="AF143" s="13">
        <f t="shared" si="144"/>
        <v>-5.3920752881646239</v>
      </c>
      <c r="AG143" s="13">
        <f t="shared" si="145"/>
        <v>-4.8647795472103041</v>
      </c>
      <c r="AH143" s="13">
        <f t="shared" si="146"/>
        <v>-3.5089048549753707</v>
      </c>
      <c r="AI143" s="13">
        <f t="shared" si="147"/>
        <v>-3.709233255843408</v>
      </c>
      <c r="AJ143" s="13">
        <f t="shared" si="148"/>
        <v>-3.0274094133807026</v>
      </c>
      <c r="AK143" s="15">
        <f t="shared" si="138"/>
        <v>7.2259250000000002</v>
      </c>
      <c r="AL143" s="13">
        <f t="shared" si="128"/>
        <v>-55.991309071156969</v>
      </c>
      <c r="AM143" s="13">
        <f t="shared" si="149"/>
        <v>-1.9310040266483584</v>
      </c>
      <c r="AN143" s="17">
        <f t="shared" si="139"/>
        <v>4.9382551041666662</v>
      </c>
      <c r="AO143" s="13">
        <f t="shared" si="129"/>
        <v>-122.04199193249963</v>
      </c>
      <c r="AP143" s="13">
        <f t="shared" si="150"/>
        <v>-3.4644461206113544</v>
      </c>
      <c r="AQ143" s="10" t="s">
        <v>240</v>
      </c>
      <c r="AR143" s="10" t="s">
        <v>235</v>
      </c>
      <c r="AS143">
        <v>168.12</v>
      </c>
    </row>
    <row r="144" spans="1:45" ht="13" customHeight="1">
      <c r="A144" s="7" t="s">
        <v>161</v>
      </c>
      <c r="B144" s="7" t="s">
        <v>68</v>
      </c>
      <c r="C144" s="4">
        <v>3.9000395291222101</v>
      </c>
      <c r="D144" s="4">
        <f t="shared" ref="D144:D146" si="177">POWER(10,C144)</f>
        <v>7944.0053710936245</v>
      </c>
      <c r="E144" s="13">
        <f t="shared" si="163"/>
        <v>6.2360442163084953</v>
      </c>
      <c r="F144" s="13">
        <f t="shared" si="164"/>
        <v>-117.47761128012328</v>
      </c>
      <c r="G144" s="13">
        <f t="shared" si="135"/>
        <v>-3.3741455417352744</v>
      </c>
      <c r="H144" s="4">
        <v>4.3489747152700504</v>
      </c>
      <c r="I144" s="9">
        <f t="shared" ref="I144:I146" si="178">POWER(10,H144)</f>
        <v>22334.421874999927</v>
      </c>
      <c r="J144" s="13">
        <f t="shared" si="161"/>
        <v>17.532521171874944</v>
      </c>
      <c r="K144" s="13">
        <f t="shared" si="162"/>
        <v>20.005800292439325</v>
      </c>
      <c r="L144" s="13">
        <f t="shared" si="136"/>
        <v>1.1152063197431292</v>
      </c>
      <c r="M144" s="3">
        <v>-577</v>
      </c>
      <c r="N144" s="3">
        <v>-493</v>
      </c>
      <c r="O144" s="3">
        <f t="shared" si="167"/>
        <v>84</v>
      </c>
      <c r="P144" s="13">
        <v>0.70399999999999996</v>
      </c>
      <c r="Q144" s="13">
        <f t="shared" si="175"/>
        <v>896.81528662420374</v>
      </c>
      <c r="R144" s="13">
        <f t="shared" si="176"/>
        <v>-48.523122149276389</v>
      </c>
      <c r="S144" s="13">
        <f t="shared" si="170"/>
        <v>-1.7179407008516481</v>
      </c>
      <c r="T144" s="43">
        <v>174</v>
      </c>
      <c r="U144" s="43">
        <v>146</v>
      </c>
      <c r="V144" s="4">
        <v>11224</v>
      </c>
      <c r="W144" s="4">
        <v>16949</v>
      </c>
      <c r="X144" s="4">
        <v>21622</v>
      </c>
      <c r="Y144" s="4">
        <v>13687</v>
      </c>
      <c r="Z144" s="4">
        <v>14727</v>
      </c>
      <c r="AA144" s="4">
        <v>8881</v>
      </c>
      <c r="AB144" s="4">
        <v>16158</v>
      </c>
      <c r="AC144" s="4">
        <v>6279</v>
      </c>
      <c r="AD144" s="13">
        <f t="shared" si="142"/>
        <v>-1.1226737808614307</v>
      </c>
      <c r="AE144" s="13">
        <f t="shared" si="143"/>
        <v>0.31587866536393161</v>
      </c>
      <c r="AF144" s="13">
        <f t="shared" si="144"/>
        <v>1.2377532175383199</v>
      </c>
      <c r="AG144" s="13">
        <f t="shared" si="145"/>
        <v>-0.79091333838076761</v>
      </c>
      <c r="AH144" s="13">
        <f t="shared" si="146"/>
        <v>-0.14965659746518326</v>
      </c>
      <c r="AI144" s="13">
        <f t="shared" si="147"/>
        <v>-1.576610039453707</v>
      </c>
      <c r="AJ144" s="13">
        <f t="shared" si="148"/>
        <v>0.70590560736967545</v>
      </c>
      <c r="AK144" s="15">
        <f t="shared" si="138"/>
        <v>4.9290150000000006</v>
      </c>
      <c r="AL144" s="13">
        <f t="shared" si="128"/>
        <v>-128.68291129160693</v>
      </c>
      <c r="AM144" s="13">
        <f t="shared" si="149"/>
        <v>-3.5923371244652036</v>
      </c>
      <c r="AN144" s="17">
        <f t="shared" si="139"/>
        <v>9.8077981770833329</v>
      </c>
      <c r="AO144" s="13">
        <f t="shared" si="129"/>
        <v>-11.798793185004119</v>
      </c>
      <c r="AP144" s="13">
        <f t="shared" si="150"/>
        <v>-0.48446612912753401</v>
      </c>
      <c r="AQ144" s="10" t="s">
        <v>241</v>
      </c>
      <c r="AR144" s="10" t="s">
        <v>235</v>
      </c>
      <c r="AS144">
        <v>348.48</v>
      </c>
    </row>
    <row r="145" spans="1:45" ht="14">
      <c r="A145" s="7" t="s">
        <v>161</v>
      </c>
      <c r="B145" s="7" t="s">
        <v>68</v>
      </c>
      <c r="C145" s="4">
        <v>3.8888789955296401</v>
      </c>
      <c r="D145" s="4">
        <f t="shared" si="177"/>
        <v>7742.4604492187327</v>
      </c>
      <c r="E145" s="13">
        <f t="shared" si="163"/>
        <v>6.0778314526367057</v>
      </c>
      <c r="F145" s="13">
        <f t="shared" si="164"/>
        <v>-123.13879721222749</v>
      </c>
      <c r="G145" s="13">
        <f t="shared" si="135"/>
        <v>-3.4857508776609771</v>
      </c>
      <c r="H145" s="4">
        <v>4.2943583538986596</v>
      </c>
      <c r="I145" s="9">
        <f t="shared" si="178"/>
        <v>19695.107421874651</v>
      </c>
      <c r="J145" s="13">
        <f t="shared" si="161"/>
        <v>15.460659326171601</v>
      </c>
      <c r="K145" s="13">
        <f t="shared" si="162"/>
        <v>9.2858868168793851</v>
      </c>
      <c r="L145" s="13">
        <f t="shared" si="136"/>
        <v>0.56904270602921647</v>
      </c>
      <c r="M145" s="3">
        <v>-573</v>
      </c>
      <c r="N145" s="3">
        <v>-483</v>
      </c>
      <c r="O145" s="3">
        <f t="shared" si="167"/>
        <v>90</v>
      </c>
      <c r="P145" s="13">
        <v>0.79700000000000004</v>
      </c>
      <c r="Q145" s="13">
        <f t="shared" si="175"/>
        <v>1015.2866242038216</v>
      </c>
      <c r="R145" s="13">
        <f t="shared" si="176"/>
        <v>-68.143364137746147</v>
      </c>
      <c r="S145" s="13">
        <f t="shared" si="170"/>
        <v>-2.2567973233916501</v>
      </c>
      <c r="T145" s="43">
        <v>175</v>
      </c>
      <c r="U145" s="43">
        <v>150</v>
      </c>
      <c r="V145" s="4">
        <v>13726</v>
      </c>
      <c r="W145" s="4">
        <v>9340</v>
      </c>
      <c r="X145" s="4">
        <v>19924</v>
      </c>
      <c r="Y145" s="4">
        <v>13589</v>
      </c>
      <c r="Z145" s="4">
        <v>9583</v>
      </c>
      <c r="AA145" s="4">
        <v>6081</v>
      </c>
      <c r="AB145" s="4">
        <v>8601</v>
      </c>
      <c r="AC145" s="4">
        <v>5560</v>
      </c>
      <c r="AD145" s="13">
        <f t="shared" si="142"/>
        <v>-0.24871041551793993</v>
      </c>
      <c r="AE145" s="13">
        <f t="shared" si="143"/>
        <v>-2.2720933692344318</v>
      </c>
      <c r="AF145" s="13">
        <f t="shared" si="144"/>
        <v>0.8825599180229643</v>
      </c>
      <c r="AG145" s="13">
        <f t="shared" si="145"/>
        <v>-0.82212102452723346</v>
      </c>
      <c r="AH145" s="13">
        <f t="shared" si="146"/>
        <v>-2.0157845841780335</v>
      </c>
      <c r="AI145" s="13">
        <f t="shared" si="147"/>
        <v>-3.2214787059398304</v>
      </c>
      <c r="AJ145" s="13">
        <f t="shared" si="148"/>
        <v>-2.0324809539203956</v>
      </c>
      <c r="AK145" s="15">
        <f t="shared" si="138"/>
        <v>4.3646000000000003</v>
      </c>
      <c r="AL145" s="13">
        <f t="shared" si="128"/>
        <v>-158.25539568345323</v>
      </c>
      <c r="AM145" s="13">
        <f t="shared" si="149"/>
        <v>-4.1204940392281184</v>
      </c>
      <c r="AN145" s="17">
        <f t="shared" si="139"/>
        <v>6.7194037499999997</v>
      </c>
      <c r="AO145" s="13">
        <f t="shared" si="129"/>
        <v>-63.184121805450388</v>
      </c>
      <c r="AP145" s="13">
        <f t="shared" si="150"/>
        <v>-2.1268739595071255</v>
      </c>
      <c r="AQ145" s="10" t="s">
        <v>241</v>
      </c>
      <c r="AR145" s="10" t="s">
        <v>235</v>
      </c>
      <c r="AS145">
        <v>348.48</v>
      </c>
    </row>
    <row r="146" spans="1:45" ht="14">
      <c r="A146" s="7" t="s">
        <v>161</v>
      </c>
      <c r="B146" s="7" t="s">
        <v>68</v>
      </c>
      <c r="C146" s="4">
        <v>3.8566404010405702</v>
      </c>
      <c r="D146" s="4">
        <f t="shared" si="177"/>
        <v>7188.5351562499627</v>
      </c>
      <c r="E146" s="13">
        <f t="shared" si="163"/>
        <v>5.6430000976562207</v>
      </c>
      <c r="F146" s="13">
        <f t="shared" si="164"/>
        <v>-140.33315196348974</v>
      </c>
      <c r="G146" s="13">
        <f t="shared" si="135"/>
        <v>-3.808136822551675</v>
      </c>
      <c r="H146" s="4">
        <v>4.3595187802615802</v>
      </c>
      <c r="I146" s="9">
        <f t="shared" si="178"/>
        <v>22883.306640624636</v>
      </c>
      <c r="J146" s="13">
        <f t="shared" si="161"/>
        <v>17.963395712890339</v>
      </c>
      <c r="K146" s="13">
        <f t="shared" si="162"/>
        <v>21.924561345960825</v>
      </c>
      <c r="L146" s="13">
        <f t="shared" si="136"/>
        <v>1.2206469696584281</v>
      </c>
      <c r="M146" s="3">
        <v>-567</v>
      </c>
      <c r="N146" s="3">
        <v>-494</v>
      </c>
      <c r="O146" s="3">
        <f t="shared" si="167"/>
        <v>73</v>
      </c>
      <c r="P146" s="13">
        <v>0.55300000000000005</v>
      </c>
      <c r="Q146" s="13">
        <f t="shared" si="175"/>
        <v>704.45859872611459</v>
      </c>
      <c r="R146" s="13">
        <f t="shared" si="176"/>
        <v>-16.666600211008298</v>
      </c>
      <c r="S146" s="13">
        <f t="shared" si="170"/>
        <v>-0.66946542247750862</v>
      </c>
      <c r="T146" s="43">
        <v>113</v>
      </c>
      <c r="U146" s="43">
        <v>127</v>
      </c>
      <c r="V146" s="4">
        <v>12270</v>
      </c>
      <c r="W146" s="4">
        <v>9709</v>
      </c>
      <c r="X146" s="4">
        <v>11859</v>
      </c>
      <c r="Y146" s="4">
        <v>16147</v>
      </c>
      <c r="Z146" s="4">
        <v>14057</v>
      </c>
      <c r="AA146" s="4">
        <v>9438</v>
      </c>
      <c r="AB146" s="4">
        <v>11824</v>
      </c>
      <c r="AC146" s="4">
        <v>6436</v>
      </c>
      <c r="AD146" s="13">
        <f t="shared" si="142"/>
        <v>-0.73570473379442314</v>
      </c>
      <c r="AE146" s="13">
        <f t="shared" si="143"/>
        <v>-2.1038171206599485</v>
      </c>
      <c r="AF146" s="13">
        <f t="shared" si="144"/>
        <v>-1.3707247219541632</v>
      </c>
      <c r="AG146" s="13">
        <f t="shared" si="145"/>
        <v>-7.3077558181950192E-2</v>
      </c>
      <c r="AH146" s="13">
        <f t="shared" si="146"/>
        <v>-0.35187301733200221</v>
      </c>
      <c r="AI146" s="13">
        <f t="shared" si="147"/>
        <v>-1.3124290099972376</v>
      </c>
      <c r="AJ146" s="13">
        <f t="shared" si="148"/>
        <v>-0.65032622007435992</v>
      </c>
      <c r="AK146" s="15">
        <f t="shared" si="138"/>
        <v>5.0522600000000004</v>
      </c>
      <c r="AL146" s="13">
        <f t="shared" si="128"/>
        <v>-123.10441267868239</v>
      </c>
      <c r="AM146" s="13">
        <f t="shared" si="149"/>
        <v>-3.4850816007787735</v>
      </c>
      <c r="AN146" s="17">
        <f t="shared" si="139"/>
        <v>8.655892447916667</v>
      </c>
      <c r="AO146" s="13">
        <f t="shared" si="129"/>
        <v>-26.67671260909783</v>
      </c>
      <c r="AP146" s="13">
        <f t="shared" si="150"/>
        <v>-1.0270628179808345</v>
      </c>
      <c r="AQ146" s="10" t="s">
        <v>241</v>
      </c>
      <c r="AR146" s="10" t="s">
        <v>235</v>
      </c>
      <c r="AS146">
        <v>348.48</v>
      </c>
    </row>
    <row r="147" spans="1:45" ht="13" customHeight="1">
      <c r="A147" s="7" t="s">
        <v>132</v>
      </c>
      <c r="B147" s="7" t="s">
        <v>69</v>
      </c>
      <c r="C147" s="4">
        <v>4.1045735262921097</v>
      </c>
      <c r="D147" s="4">
        <f t="shared" ref="D147:D149" si="179">POWER(10,C147)</f>
        <v>12722.531249999975</v>
      </c>
      <c r="E147" s="13">
        <f t="shared" si="163"/>
        <v>9.9871870312499791</v>
      </c>
      <c r="F147" s="13">
        <f t="shared" si="164"/>
        <v>-35.793992418129392</v>
      </c>
      <c r="G147" s="13">
        <f t="shared" si="135"/>
        <v>-1.328805570036282</v>
      </c>
      <c r="H147" s="4">
        <v>4.0310421894927302</v>
      </c>
      <c r="I147" s="9">
        <f t="shared" ref="I147:I149" si="180">POWER(10,H147)</f>
        <v>10740.93749999984</v>
      </c>
      <c r="J147" s="13">
        <f t="shared" si="161"/>
        <v>8.4316359374998751</v>
      </c>
      <c r="K147" s="13">
        <f t="shared" si="162"/>
        <v>-66.337827011998016</v>
      </c>
      <c r="L147" s="13">
        <f t="shared" si="136"/>
        <v>-2.0641189380300795</v>
      </c>
      <c r="M147" s="3">
        <v>-503</v>
      </c>
      <c r="N147" s="3">
        <v>-483</v>
      </c>
      <c r="O147" s="3">
        <f t="shared" ref="O147:O214" si="181">N147-M147</f>
        <v>20</v>
      </c>
      <c r="P147" s="13">
        <v>2.0019999999999998</v>
      </c>
      <c r="Q147" s="13">
        <f t="shared" si="175"/>
        <v>2550.318471337579</v>
      </c>
      <c r="R147" s="13">
        <f t="shared" si="176"/>
        <v>-322.3626286120047</v>
      </c>
      <c r="S147" s="13">
        <f t="shared" si="170"/>
        <v>-6.2568548408635234</v>
      </c>
      <c r="T147" s="43">
        <v>38</v>
      </c>
      <c r="U147" s="43">
        <v>181</v>
      </c>
      <c r="V147" s="4">
        <v>16190</v>
      </c>
      <c r="W147" s="4">
        <v>9728</v>
      </c>
      <c r="X147" s="4">
        <v>6663</v>
      </c>
      <c r="Y147" s="4">
        <v>6849</v>
      </c>
      <c r="Z147" s="4">
        <v>6887</v>
      </c>
      <c r="AA147" s="4">
        <v>8430</v>
      </c>
      <c r="AB147" s="4">
        <v>8174</v>
      </c>
      <c r="AC147" s="4">
        <v>6405</v>
      </c>
      <c r="AD147" s="13">
        <f t="shared" si="142"/>
        <v>0.46831812646927151</v>
      </c>
      <c r="AE147" s="13">
        <f t="shared" si="143"/>
        <v>-2.0953265122487679</v>
      </c>
      <c r="AF147" s="13">
        <f t="shared" si="144"/>
        <v>-3.87450727989913</v>
      </c>
      <c r="AG147" s="13">
        <f t="shared" si="145"/>
        <v>-3.7977243488399215</v>
      </c>
      <c r="AH147" s="13">
        <f t="shared" si="146"/>
        <v>-3.4504986358073002</v>
      </c>
      <c r="AI147" s="13">
        <f t="shared" si="147"/>
        <v>-1.8029529938191184</v>
      </c>
      <c r="AJ147" s="13">
        <f t="shared" si="148"/>
        <v>-2.2536240968261185</v>
      </c>
      <c r="AK147" s="15">
        <f t="shared" si="138"/>
        <v>5.0279249999999998</v>
      </c>
      <c r="AL147" s="13">
        <f t="shared" si="128"/>
        <v>-124.18423106947701</v>
      </c>
      <c r="AM147" s="13">
        <f t="shared" si="149"/>
        <v>-3.5060506142416425</v>
      </c>
      <c r="AN147" s="17">
        <f t="shared" si="139"/>
        <v>5.9377072916666664</v>
      </c>
      <c r="AO147" s="13">
        <f t="shared" si="129"/>
        <v>-84.667237056109784</v>
      </c>
      <c r="AP147" s="13">
        <f t="shared" si="150"/>
        <v>-2.6639934877461253</v>
      </c>
      <c r="AQ147" s="10" t="s">
        <v>241</v>
      </c>
      <c r="AR147" s="10" t="s">
        <v>236</v>
      </c>
      <c r="AS147">
        <v>106.14</v>
      </c>
    </row>
    <row r="148" spans="1:45" ht="14">
      <c r="A148" s="7" t="s">
        <v>132</v>
      </c>
      <c r="B148" s="7" t="s">
        <v>69</v>
      </c>
      <c r="C148" s="4">
        <v>4.1880500745470499</v>
      </c>
      <c r="D148" s="4">
        <f t="shared" si="179"/>
        <v>15418.782226562193</v>
      </c>
      <c r="E148" s="13">
        <f t="shared" si="163"/>
        <v>12.103744047851322</v>
      </c>
      <c r="F148" s="13">
        <f t="shared" si="164"/>
        <v>-12.047974134148598</v>
      </c>
      <c r="G148" s="13">
        <f t="shared" si="135"/>
        <v>-0.49404008748687878</v>
      </c>
      <c r="H148" s="4">
        <v>4.3057605952101001</v>
      </c>
      <c r="I148" s="9">
        <f t="shared" si="180"/>
        <v>20219.042968749625</v>
      </c>
      <c r="J148" s="13">
        <f t="shared" si="161"/>
        <v>15.871948730468457</v>
      </c>
      <c r="K148" s="13">
        <f t="shared" si="162"/>
        <v>11.636559327607809</v>
      </c>
      <c r="L148" s="13">
        <f t="shared" si="136"/>
        <v>0.68306511914362156</v>
      </c>
      <c r="M148" s="3">
        <v>-512</v>
      </c>
      <c r="N148" s="3">
        <v>-493</v>
      </c>
      <c r="O148" s="3">
        <f t="shared" si="181"/>
        <v>19</v>
      </c>
      <c r="P148" s="13">
        <v>2.1779999999999999</v>
      </c>
      <c r="Q148" s="13">
        <f t="shared" si="175"/>
        <v>2774.5222929936303</v>
      </c>
      <c r="R148" s="13">
        <f t="shared" si="176"/>
        <v>-359.4934091493239</v>
      </c>
      <c r="S148" s="13">
        <f t="shared" si="170"/>
        <v>-6.6227928636280877</v>
      </c>
      <c r="T148" s="43">
        <v>41</v>
      </c>
      <c r="U148" s="43">
        <v>213</v>
      </c>
      <c r="V148" s="4">
        <v>12992</v>
      </c>
      <c r="W148" s="4">
        <v>15630</v>
      </c>
      <c r="X148" s="4">
        <v>12520</v>
      </c>
      <c r="Y148" s="4">
        <v>5288</v>
      </c>
      <c r="Z148" s="4">
        <v>7914</v>
      </c>
      <c r="AA148" s="4">
        <v>6994</v>
      </c>
      <c r="AB148" s="4">
        <v>6605</v>
      </c>
      <c r="AC148" s="4">
        <v>7566</v>
      </c>
      <c r="AD148" s="13">
        <f t="shared" si="142"/>
        <v>-0.48739024209346493</v>
      </c>
      <c r="AE148" s="13">
        <f t="shared" si="143"/>
        <v>-3.597235134349594E-2</v>
      </c>
      <c r="AF148" s="13">
        <f t="shared" si="144"/>
        <v>-1.1351621238363849</v>
      </c>
      <c r="AG148" s="13">
        <f t="shared" si="145"/>
        <v>-4.9210815461630606</v>
      </c>
      <c r="AH148" s="13">
        <f t="shared" si="146"/>
        <v>-2.8468390063604128</v>
      </c>
      <c r="AI148" s="13">
        <f t="shared" si="147"/>
        <v>-2.6139724603342831</v>
      </c>
      <c r="AJ148" s="13">
        <f t="shared" si="148"/>
        <v>-3.1792422110764051</v>
      </c>
      <c r="AK148" s="15">
        <f t="shared" si="138"/>
        <v>5.9393100000000008</v>
      </c>
      <c r="AL148" s="13">
        <f t="shared" si="128"/>
        <v>-89.783240814168622</v>
      </c>
      <c r="AM148" s="13">
        <f t="shared" si="149"/>
        <v>-2.7825785854814402</v>
      </c>
      <c r="AN148" s="17">
        <f t="shared" si="139"/>
        <v>5.8211511458333334</v>
      </c>
      <c r="AO148" s="13">
        <f t="shared" si="129"/>
        <v>-88.364804920905257</v>
      </c>
      <c r="AP148" s="13">
        <f t="shared" si="150"/>
        <v>-2.7500925749279812</v>
      </c>
      <c r="AQ148" s="10" t="s">
        <v>241</v>
      </c>
      <c r="AR148" s="10" t="s">
        <v>236</v>
      </c>
      <c r="AS148">
        <v>106.14</v>
      </c>
    </row>
    <row r="149" spans="1:45" ht="14">
      <c r="A149" s="7" t="s">
        <v>132</v>
      </c>
      <c r="B149" s="7" t="s">
        <v>69</v>
      </c>
      <c r="C149" s="4">
        <v>4.2144847011596003</v>
      </c>
      <c r="D149" s="4">
        <f t="shared" si="179"/>
        <v>16386.443359374924</v>
      </c>
      <c r="E149" s="13">
        <f t="shared" si="163"/>
        <v>12.863358037109316</v>
      </c>
      <c r="F149" s="13">
        <f t="shared" si="164"/>
        <v>-5.4312564485508474</v>
      </c>
      <c r="G149" s="13">
        <f t="shared" si="135"/>
        <v>-0.22969382136137373</v>
      </c>
      <c r="H149" s="4">
        <v>4.0683151796564596</v>
      </c>
      <c r="I149" s="9">
        <f t="shared" si="180"/>
        <v>11703.484374999949</v>
      </c>
      <c r="J149" s="13">
        <f t="shared" si="161"/>
        <v>9.1872352343749615</v>
      </c>
      <c r="K149" s="13">
        <f t="shared" si="162"/>
        <v>-52.657460511341391</v>
      </c>
      <c r="L149" s="13">
        <f t="shared" si="136"/>
        <v>-1.6913890363927788</v>
      </c>
      <c r="M149" s="3">
        <v>-533</v>
      </c>
      <c r="N149" s="3">
        <v>-482</v>
      </c>
      <c r="O149" s="3">
        <f t="shared" si="181"/>
        <v>51</v>
      </c>
      <c r="P149" s="13">
        <v>2.153</v>
      </c>
      <c r="Q149" s="13">
        <f t="shared" si="175"/>
        <v>2742.6751592356686</v>
      </c>
      <c r="R149" s="13">
        <f t="shared" si="176"/>
        <v>-354.21915055027284</v>
      </c>
      <c r="S149" s="13">
        <f t="shared" si="170"/>
        <v>-6.5726544076653983</v>
      </c>
      <c r="T149" s="43">
        <v>50</v>
      </c>
      <c r="U149" s="43">
        <v>204</v>
      </c>
      <c r="V149" s="4">
        <v>20780</v>
      </c>
      <c r="W149" s="4">
        <v>12520</v>
      </c>
      <c r="X149" s="4">
        <v>8687</v>
      </c>
      <c r="Y149" s="4">
        <v>4644</v>
      </c>
      <c r="Z149" s="4">
        <v>7987</v>
      </c>
      <c r="AA149" s="4">
        <v>6783</v>
      </c>
      <c r="AB149" s="4">
        <v>6011</v>
      </c>
      <c r="AC149" s="4">
        <v>9195</v>
      </c>
      <c r="AD149" s="13">
        <f t="shared" si="142"/>
        <v>1.5523050711471207</v>
      </c>
      <c r="AE149" s="13">
        <f t="shared" si="143"/>
        <v>-0.99951884279125647</v>
      </c>
      <c r="AF149" s="13">
        <f t="shared" si="144"/>
        <v>-2.7225071974506267</v>
      </c>
      <c r="AG149" s="13">
        <f t="shared" si="145"/>
        <v>-5.4850739002735356</v>
      </c>
      <c r="AH149" s="13">
        <f t="shared" si="146"/>
        <v>-2.8069626213357868</v>
      </c>
      <c r="AI149" s="13">
        <f t="shared" si="147"/>
        <v>-2.7470105694163207</v>
      </c>
      <c r="AJ149" s="13">
        <f t="shared" si="148"/>
        <v>-3.5885031508956984</v>
      </c>
      <c r="AK149" s="15">
        <f t="shared" si="138"/>
        <v>7.2180750000000007</v>
      </c>
      <c r="AL149" s="13">
        <f t="shared" si="128"/>
        <v>-56.16095704187056</v>
      </c>
      <c r="AM149" s="13">
        <f t="shared" si="149"/>
        <v>-1.9357246193077302</v>
      </c>
      <c r="AN149" s="17">
        <f t="shared" si="139"/>
        <v>5.6536517708333331</v>
      </c>
      <c r="AO149" s="13">
        <f t="shared" si="129"/>
        <v>-93.945443484287821</v>
      </c>
      <c r="AP149" s="13">
        <f t="shared" si="150"/>
        <v>-2.876890781678521</v>
      </c>
      <c r="AQ149" s="10" t="s">
        <v>241</v>
      </c>
      <c r="AR149" s="10" t="s">
        <v>236</v>
      </c>
      <c r="AS149">
        <v>106.14</v>
      </c>
    </row>
    <row r="150" spans="1:45" ht="13" customHeight="1">
      <c r="A150" s="7" t="s">
        <v>133</v>
      </c>
      <c r="B150" s="7" t="s">
        <v>70</v>
      </c>
      <c r="C150" s="4">
        <v>4.65237780641767</v>
      </c>
      <c r="D150" s="4">
        <f t="shared" ref="D150:D152" si="182">POWER(10,C150)</f>
        <v>44913.593749999338</v>
      </c>
      <c r="E150" s="13">
        <f t="shared" si="163"/>
        <v>35.257171093749477</v>
      </c>
      <c r="F150" s="13">
        <f t="shared" si="164"/>
        <v>61.534066462852657</v>
      </c>
      <c r="G150" s="13">
        <f t="shared" si="135"/>
        <v>4.1492372312193186</v>
      </c>
      <c r="H150" s="4">
        <v>5.19083181191289</v>
      </c>
      <c r="I150" s="9">
        <f t="shared" ref="I150:I152" si="183">POWER(10,H150)</f>
        <v>155178.59374999697</v>
      </c>
      <c r="J150" s="13">
        <f t="shared" si="161"/>
        <v>121.81519609374763</v>
      </c>
      <c r="K150" s="13">
        <f t="shared" si="162"/>
        <v>88.486658110202839</v>
      </c>
      <c r="L150" s="13">
        <f t="shared" si="136"/>
        <v>9.5337772861715244</v>
      </c>
      <c r="M150" s="3">
        <v>-496</v>
      </c>
      <c r="N150" s="3">
        <v>-479</v>
      </c>
      <c r="O150" s="3">
        <f t="shared" si="181"/>
        <v>17</v>
      </c>
      <c r="P150" s="13">
        <v>0.57199999999999995</v>
      </c>
      <c r="Q150" s="13">
        <f t="shared" si="175"/>
        <v>728.66242038216558</v>
      </c>
      <c r="R150" s="13">
        <f t="shared" si="176"/>
        <v>-20.675036746287077</v>
      </c>
      <c r="S150" s="13">
        <f t="shared" si="170"/>
        <v>-0.8161743973607688</v>
      </c>
      <c r="T150" s="43">
        <v>22</v>
      </c>
      <c r="U150" s="43">
        <v>160</v>
      </c>
      <c r="V150" s="4">
        <v>75820</v>
      </c>
      <c r="W150" s="4">
        <v>85900</v>
      </c>
      <c r="X150" s="4">
        <v>21107</v>
      </c>
      <c r="Y150" s="4">
        <v>60320</v>
      </c>
      <c r="Z150" s="4">
        <v>54000</v>
      </c>
      <c r="AA150" s="4">
        <v>40000</v>
      </c>
      <c r="AB150" s="4">
        <v>38910</v>
      </c>
      <c r="AC150" s="4">
        <v>34700</v>
      </c>
      <c r="AD150" s="13">
        <f t="shared" si="142"/>
        <v>7.1736874398396919</v>
      </c>
      <c r="AE150" s="13">
        <f t="shared" si="143"/>
        <v>7.3643695067770576</v>
      </c>
      <c r="AF150" s="13">
        <f t="shared" si="144"/>
        <v>1.1330596888368318</v>
      </c>
      <c r="AG150" s="13">
        <f t="shared" si="145"/>
        <v>5.6506173176782779</v>
      </c>
      <c r="AH150" s="13">
        <f t="shared" si="146"/>
        <v>5.4931381325691833</v>
      </c>
      <c r="AI150" s="13">
        <f t="shared" si="147"/>
        <v>4.9593711732130821</v>
      </c>
      <c r="AJ150" s="13">
        <f t="shared" si="148"/>
        <v>4.5226418774555599</v>
      </c>
      <c r="AK150" s="15">
        <f t="shared" si="138"/>
        <v>27.2395</v>
      </c>
      <c r="AL150" s="13">
        <f t="shared" si="128"/>
        <v>58.619596541786748</v>
      </c>
      <c r="AM150" s="13">
        <f t="shared" si="149"/>
        <v>3.8320527928600439</v>
      </c>
      <c r="AN150" s="17">
        <f t="shared" si="139"/>
        <v>34.202678958333337</v>
      </c>
      <c r="AO150" s="13">
        <f t="shared" si="129"/>
        <v>67.941107732064296</v>
      </c>
      <c r="AP150" s="13">
        <f t="shared" si="150"/>
        <v>4.9404199057538367</v>
      </c>
      <c r="AQ150" s="10" t="s">
        <v>242</v>
      </c>
      <c r="AR150" s="10" t="s">
        <v>235</v>
      </c>
      <c r="AS150">
        <v>155.16999999999999</v>
      </c>
    </row>
    <row r="151" spans="1:45" ht="14">
      <c r="A151" s="7" t="s">
        <v>133</v>
      </c>
      <c r="B151" s="7" t="s">
        <v>70</v>
      </c>
      <c r="C151" s="4">
        <v>4.38414703097874</v>
      </c>
      <c r="D151" s="4">
        <f t="shared" si="182"/>
        <v>24218.488281249964</v>
      </c>
      <c r="E151" s="13">
        <f t="shared" si="163"/>
        <v>19.011513300781221</v>
      </c>
      <c r="F151" s="13">
        <f t="shared" si="164"/>
        <v>28.664279453005403</v>
      </c>
      <c r="G151" s="13">
        <f t="shared" si="135"/>
        <v>1.4669294768300247</v>
      </c>
      <c r="H151" s="4">
        <v>4.9250388387736104</v>
      </c>
      <c r="I151" s="9">
        <f t="shared" si="183"/>
        <v>84147.039062498268</v>
      </c>
      <c r="J151" s="13">
        <f t="shared" si="161"/>
        <v>66.055425664061147</v>
      </c>
      <c r="K151" s="13">
        <f t="shared" si="162"/>
        <v>78.767830410590179</v>
      </c>
      <c r="L151" s="13">
        <f t="shared" si="136"/>
        <v>6.8758475547787237</v>
      </c>
      <c r="M151" s="3">
        <v>-499</v>
      </c>
      <c r="N151" s="3">
        <v>-489</v>
      </c>
      <c r="O151" s="3">
        <f t="shared" si="181"/>
        <v>10</v>
      </c>
      <c r="P151" s="13">
        <v>1.5269999999999999</v>
      </c>
      <c r="Q151" s="13">
        <f t="shared" si="175"/>
        <v>1945.2229299363057</v>
      </c>
      <c r="R151" s="13">
        <f t="shared" si="176"/>
        <v>-222.15171523003562</v>
      </c>
      <c r="S151" s="13">
        <f t="shared" si="170"/>
        <v>-5.0806044799947383</v>
      </c>
      <c r="T151" s="43">
        <v>24</v>
      </c>
      <c r="U151" s="43">
        <v>184</v>
      </c>
      <c r="V151" s="4">
        <v>22570</v>
      </c>
      <c r="W151" s="4">
        <v>33700</v>
      </c>
      <c r="X151" s="4">
        <v>28000</v>
      </c>
      <c r="Y151" s="4">
        <v>34500</v>
      </c>
      <c r="Z151" s="4">
        <v>27700</v>
      </c>
      <c r="AA151" s="4">
        <v>24280</v>
      </c>
      <c r="AB151" s="4">
        <v>21260</v>
      </c>
      <c r="AC151" s="4">
        <v>14590</v>
      </c>
      <c r="AD151" s="13">
        <f t="shared" si="142"/>
        <v>1.9111652297131543</v>
      </c>
      <c r="AE151" s="13">
        <f t="shared" si="143"/>
        <v>3.300736877178021</v>
      </c>
      <c r="AF151" s="13">
        <f t="shared" si="144"/>
        <v>2.3603749008416983</v>
      </c>
      <c r="AG151" s="13">
        <f t="shared" si="145"/>
        <v>3.224194939793843</v>
      </c>
      <c r="AH151" s="13">
        <f t="shared" si="146"/>
        <v>2.5939982249839839</v>
      </c>
      <c r="AI151" s="13">
        <f t="shared" si="147"/>
        <v>2.7912580839656576</v>
      </c>
      <c r="AJ151" s="13">
        <f t="shared" si="148"/>
        <v>1.8976621712909145</v>
      </c>
      <c r="AK151" s="15">
        <f t="shared" ref="AK151:AK164" si="184">AC151*0.785/1000</f>
        <v>11.453149999999999</v>
      </c>
      <c r="AL151" s="13">
        <f t="shared" si="128"/>
        <v>1.5832762165866932</v>
      </c>
      <c r="AM151" s="13">
        <f t="shared" si="149"/>
        <v>6.9310963885822599E-2</v>
      </c>
      <c r="AN151" s="17">
        <f t="shared" ref="AN151:AN164" si="185">(0.785/24000)*(AVERAGE(V151:W151)*0.5+AVERAGE(W151:X151)*1+AVERAGE(X151:Y151)*1+AVERAGE(Y151:Z151)*3+AVERAGE(Z151:AA151)*6+AVERAGE(AA151:AB151)*6+AVERAGE(AB151:AC151)*6)</f>
        <v>18.629930729166666</v>
      </c>
      <c r="AO151" s="13">
        <f t="shared" si="129"/>
        <v>41.14309838611797</v>
      </c>
      <c r="AP151" s="13">
        <f t="shared" si="150"/>
        <v>2.3019310672788276</v>
      </c>
      <c r="AQ151" s="10" t="s">
        <v>242</v>
      </c>
      <c r="AR151" s="10" t="s">
        <v>235</v>
      </c>
      <c r="AS151">
        <v>155.16999999999999</v>
      </c>
    </row>
    <row r="152" spans="1:45" ht="14">
      <c r="A152" s="7" t="s">
        <v>133</v>
      </c>
      <c r="B152" s="7" t="s">
        <v>70</v>
      </c>
      <c r="C152" s="4">
        <v>4.3556460422084804</v>
      </c>
      <c r="D152" s="4">
        <f t="shared" si="182"/>
        <v>22680.156249999985</v>
      </c>
      <c r="E152" s="13">
        <f t="shared" si="163"/>
        <v>17.803922656249991</v>
      </c>
      <c r="F152" s="13">
        <f t="shared" si="164"/>
        <v>23.825775578512086</v>
      </c>
      <c r="G152" s="13">
        <f t="shared" si="135"/>
        <v>1.1819195891274294</v>
      </c>
      <c r="H152" s="4">
        <v>4.7845461133600304</v>
      </c>
      <c r="I152" s="9">
        <f t="shared" si="183"/>
        <v>60890.019531249243</v>
      </c>
      <c r="J152" s="13">
        <f t="shared" si="161"/>
        <v>47.798665332030659</v>
      </c>
      <c r="K152" s="13">
        <f t="shared" si="162"/>
        <v>70.658176535733475</v>
      </c>
      <c r="L152" s="13">
        <f t="shared" si="136"/>
        <v>5.4709203006429288</v>
      </c>
      <c r="M152" s="3">
        <v>-491</v>
      </c>
      <c r="N152" s="3">
        <v>-479</v>
      </c>
      <c r="O152" s="3">
        <f t="shared" si="181"/>
        <v>12</v>
      </c>
      <c r="P152" s="13">
        <v>1.55</v>
      </c>
      <c r="Q152" s="13">
        <f t="shared" si="175"/>
        <v>1974.5222929936306</v>
      </c>
      <c r="R152" s="13">
        <f t="shared" si="176"/>
        <v>-227.00403314116255</v>
      </c>
      <c r="S152" s="13">
        <f t="shared" si="170"/>
        <v>-5.1455310911334422</v>
      </c>
      <c r="T152" s="43">
        <v>25</v>
      </c>
      <c r="U152" s="43">
        <v>212</v>
      </c>
      <c r="V152" s="4">
        <v>14780</v>
      </c>
      <c r="W152" s="4">
        <v>52900</v>
      </c>
      <c r="X152" s="4">
        <v>41360</v>
      </c>
      <c r="Y152" s="4">
        <v>24580</v>
      </c>
      <c r="Z152" s="4">
        <v>23200</v>
      </c>
      <c r="AA152" s="4">
        <v>23280</v>
      </c>
      <c r="AB152" s="4">
        <v>16270</v>
      </c>
      <c r="AC152" s="4">
        <v>21130</v>
      </c>
      <c r="AD152" s="13">
        <f t="shared" si="142"/>
        <v>7.2593979523603719E-2</v>
      </c>
      <c r="AE152" s="13">
        <f t="shared" si="143"/>
        <v>5.258994588816492</v>
      </c>
      <c r="AF152" s="13">
        <f t="shared" si="144"/>
        <v>4.0545998882783678</v>
      </c>
      <c r="AG152" s="13">
        <f t="shared" si="145"/>
        <v>1.7518227745654547</v>
      </c>
      <c r="AH152" s="13">
        <f t="shared" si="146"/>
        <v>1.8240803832484951</v>
      </c>
      <c r="AI152" s="13">
        <f t="shared" si="147"/>
        <v>2.6086010197119665</v>
      </c>
      <c r="AJ152" s="13">
        <f t="shared" si="148"/>
        <v>0.73590509878672228</v>
      </c>
      <c r="AK152" s="15">
        <f t="shared" si="184"/>
        <v>16.587049999999998</v>
      </c>
      <c r="AL152" s="13">
        <f t="shared" si="128"/>
        <v>32.04448651206814</v>
      </c>
      <c r="AM152" s="13">
        <f t="shared" si="149"/>
        <v>1.6777530154744402</v>
      </c>
      <c r="AN152" s="17">
        <f t="shared" si="185"/>
        <v>17.629137499999999</v>
      </c>
      <c r="AO152" s="13">
        <f t="shared" si="129"/>
        <v>37.801835172026991</v>
      </c>
      <c r="AP152" s="13">
        <f t="shared" si="150"/>
        <v>2.0621293174459794</v>
      </c>
      <c r="AQ152" s="10" t="s">
        <v>242</v>
      </c>
      <c r="AR152" s="10" t="s">
        <v>235</v>
      </c>
      <c r="AS152">
        <v>155.16999999999999</v>
      </c>
    </row>
    <row r="153" spans="1:45" ht="13" customHeight="1">
      <c r="A153" s="24" t="s">
        <v>193</v>
      </c>
      <c r="B153" s="7" t="s">
        <v>71</v>
      </c>
      <c r="C153" s="4">
        <v>4.2146906221525597</v>
      </c>
      <c r="D153" s="4">
        <f t="shared" ref="D153:D155" si="186">POWER(10,C153)</f>
        <v>16394.214843749993</v>
      </c>
      <c r="E153" s="13">
        <f t="shared" si="163"/>
        <v>12.869458652343745</v>
      </c>
      <c r="F153" s="13">
        <f t="shared" si="164"/>
        <v>-5.381278003718748</v>
      </c>
      <c r="G153" s="13">
        <f t="shared" si="135"/>
        <v>-0.22763461143178179</v>
      </c>
      <c r="H153" s="4">
        <v>4.2317380145167203</v>
      </c>
      <c r="I153" s="9">
        <f t="shared" ref="I153:I155" si="187">POWER(10,H153)</f>
        <v>17050.535156249862</v>
      </c>
      <c r="J153" s="13">
        <f t="shared" si="161"/>
        <v>13.384670097656143</v>
      </c>
      <c r="K153" s="13">
        <f t="shared" si="162"/>
        <v>-4.7840544269820207</v>
      </c>
      <c r="L153" s="13">
        <f t="shared" si="136"/>
        <v>-5.716068779017433E-2</v>
      </c>
      <c r="M153" s="3">
        <v>-618</v>
      </c>
      <c r="N153" s="3">
        <v>-485</v>
      </c>
      <c r="O153" s="3">
        <f t="shared" si="181"/>
        <v>133</v>
      </c>
      <c r="P153" s="13">
        <v>0.32</v>
      </c>
      <c r="Q153" s="13">
        <f t="shared" si="175"/>
        <v>407.64331210191079</v>
      </c>
      <c r="R153" s="13">
        <f t="shared" si="176"/>
        <v>32.489489932147087</v>
      </c>
      <c r="S153" s="13">
        <f t="shared" si="170"/>
        <v>1.7062861073704136</v>
      </c>
      <c r="T153" s="43">
        <v>176</v>
      </c>
      <c r="U153" s="43">
        <v>155</v>
      </c>
      <c r="V153" s="4">
        <v>26581</v>
      </c>
      <c r="W153" s="4">
        <v>25397</v>
      </c>
      <c r="X153" s="4">
        <v>25799</v>
      </c>
      <c r="Y153" s="4">
        <v>16502</v>
      </c>
      <c r="Z153" s="4">
        <v>15354</v>
      </c>
      <c r="AA153" s="4">
        <v>9536</v>
      </c>
      <c r="AB153" s="4">
        <v>8343</v>
      </c>
      <c r="AC153" s="4">
        <v>9310</v>
      </c>
      <c r="AD153" s="13">
        <f t="shared" si="142"/>
        <v>2.6215627933821</v>
      </c>
      <c r="AE153" s="13">
        <f t="shared" si="143"/>
        <v>2.0722620581310607</v>
      </c>
      <c r="AF153" s="13">
        <f t="shared" si="144"/>
        <v>2.0048233125949548</v>
      </c>
      <c r="AG153" s="13">
        <f t="shared" si="145"/>
        <v>2.1369816852470414E-2</v>
      </c>
      <c r="AH153" s="13">
        <f t="shared" si="146"/>
        <v>3.1415897047788799E-2</v>
      </c>
      <c r="AI153" s="13">
        <f t="shared" si="147"/>
        <v>-1.2675663161049302</v>
      </c>
      <c r="AJ153" s="13">
        <f t="shared" si="148"/>
        <v>-2.1647479947436459</v>
      </c>
      <c r="AK153" s="15">
        <f t="shared" si="184"/>
        <v>7.3083500000000008</v>
      </c>
      <c r="AL153" s="13">
        <f t="shared" si="128"/>
        <v>-54.232008592910844</v>
      </c>
      <c r="AM153" s="13">
        <f t="shared" si="149"/>
        <v>-1.8817451452352663</v>
      </c>
      <c r="AN153" s="17">
        <f t="shared" si="185"/>
        <v>9.445937708333334</v>
      </c>
      <c r="AO153" s="13">
        <f t="shared" si="129"/>
        <v>-16.081646296762344</v>
      </c>
      <c r="AP153" s="13">
        <f t="shared" si="150"/>
        <v>-0.64773056078354585</v>
      </c>
      <c r="AQ153" s="10" t="s">
        <v>240</v>
      </c>
      <c r="AR153" s="10" t="s">
        <v>235</v>
      </c>
      <c r="AS153">
        <v>302.24</v>
      </c>
    </row>
    <row r="154" spans="1:45" ht="14">
      <c r="A154" s="24" t="s">
        <v>193</v>
      </c>
      <c r="B154" s="7" t="s">
        <v>71</v>
      </c>
      <c r="C154" s="4">
        <v>4.2128365887149304</v>
      </c>
      <c r="D154" s="4">
        <f t="shared" si="186"/>
        <v>16324.375976562387</v>
      </c>
      <c r="E154" s="13">
        <f t="shared" si="163"/>
        <v>12.814635141601475</v>
      </c>
      <c r="F154" s="13">
        <f t="shared" si="164"/>
        <v>-5.8321196830042998</v>
      </c>
      <c r="G154" s="13">
        <f t="shared" si="135"/>
        <v>-0.24617494580807112</v>
      </c>
      <c r="H154" s="4">
        <v>4.3759267895193101</v>
      </c>
      <c r="I154" s="9">
        <f t="shared" si="187"/>
        <v>23764.396484374545</v>
      </c>
      <c r="J154" s="13">
        <f t="shared" si="161"/>
        <v>18.655051240234016</v>
      </c>
      <c r="K154" s="13">
        <f t="shared" si="162"/>
        <v>24.819289856723735</v>
      </c>
      <c r="L154" s="13">
        <f t="shared" si="136"/>
        <v>1.3847270622357208</v>
      </c>
      <c r="M154" s="3">
        <v>-604</v>
      </c>
      <c r="N154" s="3">
        <v>-514</v>
      </c>
      <c r="O154" s="3">
        <f t="shared" si="181"/>
        <v>90</v>
      </c>
      <c r="P154" s="13">
        <v>0.218</v>
      </c>
      <c r="Q154" s="13">
        <f t="shared" si="175"/>
        <v>277.70700636942672</v>
      </c>
      <c r="R154" s="13">
        <f t="shared" si="176"/>
        <v>54.00846501627521</v>
      </c>
      <c r="S154" s="13">
        <f t="shared" si="170"/>
        <v>3.3732209545234255</v>
      </c>
      <c r="T154" s="43">
        <v>137</v>
      </c>
      <c r="U154" s="43">
        <v>170</v>
      </c>
      <c r="V154" s="4">
        <v>14512</v>
      </c>
      <c r="W154" s="4">
        <v>20000</v>
      </c>
      <c r="X154" s="4">
        <v>18000</v>
      </c>
      <c r="Y154" s="4">
        <v>13528</v>
      </c>
      <c r="Z154" s="4">
        <v>10867</v>
      </c>
      <c r="AA154" s="4">
        <v>6210</v>
      </c>
      <c r="AB154" s="4">
        <v>5983</v>
      </c>
      <c r="AC154" s="4">
        <v>7181</v>
      </c>
      <c r="AD154" s="13">
        <f t="shared" si="142"/>
        <v>-6.8776639042655574E-3</v>
      </c>
      <c r="AE154" s="13">
        <f t="shared" si="143"/>
        <v>1.0347378251044468</v>
      </c>
      <c r="AF154" s="13">
        <f t="shared" si="144"/>
        <v>0.44151963845256748</v>
      </c>
      <c r="AG154" s="13">
        <f t="shared" si="145"/>
        <v>-0.84166006504204494</v>
      </c>
      <c r="AH154" s="13">
        <f t="shared" si="146"/>
        <v>-1.4697027950547055</v>
      </c>
      <c r="AI154" s="13">
        <f t="shared" si="147"/>
        <v>-3.1303127383007401</v>
      </c>
      <c r="AJ154" s="13">
        <f t="shared" si="148"/>
        <v>-3.6087804021614014</v>
      </c>
      <c r="AK154" s="15">
        <f t="shared" si="184"/>
        <v>5.6370849999999999</v>
      </c>
      <c r="AL154" s="13">
        <f t="shared" si="128"/>
        <v>-99.958223088706319</v>
      </c>
      <c r="AM154" s="13">
        <f t="shared" si="149"/>
        <v>-3.0093926877769954</v>
      </c>
      <c r="AN154" s="17">
        <f t="shared" si="185"/>
        <v>6.7799959374999998</v>
      </c>
      <c r="AO154" s="13">
        <f t="shared" si="129"/>
        <v>-61.725760621077065</v>
      </c>
      <c r="AP154" s="13">
        <f t="shared" si="150"/>
        <v>-2.0878869971112737</v>
      </c>
      <c r="AQ154" s="10" t="s">
        <v>240</v>
      </c>
      <c r="AR154" s="10" t="s">
        <v>235</v>
      </c>
      <c r="AS154">
        <v>302.24</v>
      </c>
    </row>
    <row r="155" spans="1:45" ht="14">
      <c r="A155" s="24" t="s">
        <v>193</v>
      </c>
      <c r="B155" s="7" t="s">
        <v>71</v>
      </c>
      <c r="C155" s="4">
        <v>4.1044593695249096</v>
      </c>
      <c r="D155" s="4">
        <f t="shared" si="186"/>
        <v>12719.187499999904</v>
      </c>
      <c r="E155" s="13">
        <f t="shared" si="163"/>
        <v>9.9845621874999253</v>
      </c>
      <c r="F155" s="13">
        <f t="shared" si="164"/>
        <v>-35.829691330670578</v>
      </c>
      <c r="G155" s="13">
        <f t="shared" si="135"/>
        <v>-1.3299471377082814</v>
      </c>
      <c r="H155" s="4">
        <v>4.3115696937305099</v>
      </c>
      <c r="I155" s="9">
        <f t="shared" si="187"/>
        <v>20491.308593749844</v>
      </c>
      <c r="J155" s="13">
        <f t="shared" si="161"/>
        <v>16.085677246093628</v>
      </c>
      <c r="K155" s="13">
        <f t="shared" si="162"/>
        <v>12.810634047715075</v>
      </c>
      <c r="L155" s="13">
        <f t="shared" si="136"/>
        <v>0.74115610434771761</v>
      </c>
      <c r="M155" s="3">
        <v>-702</v>
      </c>
      <c r="N155" s="3">
        <v>-512</v>
      </c>
      <c r="O155" s="3">
        <f t="shared" si="181"/>
        <v>190</v>
      </c>
      <c r="P155" s="13">
        <v>0.61699999999999999</v>
      </c>
      <c r="Q155" s="13">
        <f t="shared" si="175"/>
        <v>785.98726114649673</v>
      </c>
      <c r="R155" s="13">
        <f t="shared" si="176"/>
        <v>-30.16870222457888</v>
      </c>
      <c r="S155" s="13">
        <f t="shared" si="170"/>
        <v>-1.1450657497629431</v>
      </c>
      <c r="T155" s="43">
        <v>195</v>
      </c>
      <c r="U155" s="43">
        <v>147</v>
      </c>
      <c r="V155" s="4">
        <v>22910</v>
      </c>
      <c r="W155" s="4">
        <v>20054</v>
      </c>
      <c r="X155" s="4">
        <v>21369</v>
      </c>
      <c r="Y155" s="4">
        <v>15231</v>
      </c>
      <c r="Z155" s="4">
        <v>11788</v>
      </c>
      <c r="AA155" s="4">
        <v>8755</v>
      </c>
      <c r="AB155" s="4">
        <v>8827</v>
      </c>
      <c r="AC155" s="4">
        <v>8736</v>
      </c>
      <c r="AD155" s="13">
        <f t="shared" si="142"/>
        <v>1.976100530829509</v>
      </c>
      <c r="AE155" s="13">
        <f t="shared" si="143"/>
        <v>1.0464479745184543</v>
      </c>
      <c r="AF155" s="13">
        <f t="shared" si="144"/>
        <v>1.1866365780618233</v>
      </c>
      <c r="AG155" s="13">
        <f t="shared" si="145"/>
        <v>-0.32671182969622337</v>
      </c>
      <c r="AH155" s="13">
        <f t="shared" si="146"/>
        <v>-1.1163981938816263</v>
      </c>
      <c r="AI155" s="13">
        <f t="shared" si="147"/>
        <v>-1.6386672358718926</v>
      </c>
      <c r="AJ155" s="13">
        <f t="shared" si="148"/>
        <v>-1.9198391647084811</v>
      </c>
      <c r="AK155" s="15">
        <f t="shared" si="184"/>
        <v>6.8577599999999999</v>
      </c>
      <c r="AL155" s="13">
        <f t="shared" si="128"/>
        <v>-64.365842490842496</v>
      </c>
      <c r="AM155" s="13">
        <f t="shared" si="149"/>
        <v>-2.1581157014420733</v>
      </c>
      <c r="AN155" s="17">
        <f t="shared" si="185"/>
        <v>8.4173260416666675</v>
      </c>
      <c r="AO155" s="13">
        <f t="shared" si="129"/>
        <v>-30.267022397874022</v>
      </c>
      <c r="AP155" s="13">
        <f t="shared" si="150"/>
        <v>-1.1484398363365675</v>
      </c>
      <c r="AQ155" s="10" t="s">
        <v>240</v>
      </c>
      <c r="AR155" s="10" t="s">
        <v>235</v>
      </c>
      <c r="AS155">
        <v>302.24</v>
      </c>
    </row>
    <row r="156" spans="1:45" ht="13" customHeight="1">
      <c r="A156" s="7" t="s">
        <v>162</v>
      </c>
      <c r="B156" s="7" t="s">
        <v>72</v>
      </c>
      <c r="C156" s="4">
        <v>3.9742091744611199</v>
      </c>
      <c r="D156" s="4">
        <f t="shared" ref="D156:D158" si="188">POWER(10,C156)</f>
        <v>9423.4335937498381</v>
      </c>
      <c r="E156" s="13">
        <f t="shared" si="163"/>
        <v>7.3973953710936229</v>
      </c>
      <c r="F156" s="13">
        <f t="shared" si="164"/>
        <v>-83.334799880988484</v>
      </c>
      <c r="G156" s="13">
        <f t="shared" si="135"/>
        <v>-2.6324490883461769</v>
      </c>
      <c r="H156" s="4">
        <v>4.38202819966628</v>
      </c>
      <c r="I156" s="9">
        <f t="shared" ref="I156:I158" si="189">POWER(10,H156)</f>
        <v>24100.619140624909</v>
      </c>
      <c r="J156" s="13">
        <f t="shared" si="161"/>
        <v>18.918986025390552</v>
      </c>
      <c r="K156" s="13">
        <f t="shared" si="162"/>
        <v>25.868120092813072</v>
      </c>
      <c r="L156" s="13">
        <f t="shared" si="136"/>
        <v>1.4457411637054218</v>
      </c>
      <c r="M156" s="3">
        <v>-621</v>
      </c>
      <c r="N156" s="3">
        <v>-486</v>
      </c>
      <c r="O156" s="3">
        <f t="shared" si="181"/>
        <v>135</v>
      </c>
      <c r="P156" s="13">
        <v>0.54100000000000004</v>
      </c>
      <c r="Q156" s="13">
        <f t="shared" si="175"/>
        <v>689.171974522293</v>
      </c>
      <c r="R156" s="13">
        <f t="shared" si="176"/>
        <v>-14.134956083463845</v>
      </c>
      <c r="S156" s="13">
        <f t="shared" si="170"/>
        <v>-0.57418676049622108</v>
      </c>
      <c r="T156" s="43">
        <v>180</v>
      </c>
      <c r="U156" s="43">
        <v>134</v>
      </c>
      <c r="V156" s="4">
        <v>11090</v>
      </c>
      <c r="W156" s="4">
        <v>15674</v>
      </c>
      <c r="X156" s="4">
        <v>27311</v>
      </c>
      <c r="Y156" s="4">
        <v>16732</v>
      </c>
      <c r="Z156" s="4">
        <v>16355</v>
      </c>
      <c r="AA156" s="4">
        <v>10266</v>
      </c>
      <c r="AB156" s="4">
        <v>13168</v>
      </c>
      <c r="AC156" s="4">
        <v>8013</v>
      </c>
      <c r="AD156" s="13">
        <f t="shared" si="142"/>
        <v>-1.1748348995728652</v>
      </c>
      <c r="AE156" s="13">
        <f t="shared" si="143"/>
        <v>-2.376370721633226E-2</v>
      </c>
      <c r="AF156" s="13">
        <f t="shared" si="144"/>
        <v>2.2521706098827123</v>
      </c>
      <c r="AG156" s="13">
        <f t="shared" si="145"/>
        <v>8.1482548147028377E-2</v>
      </c>
      <c r="AH156" s="13">
        <f t="shared" si="146"/>
        <v>0.30570601894950294</v>
      </c>
      <c r="AI156" s="13">
        <f t="shared" si="147"/>
        <v>-0.9472161408191031</v>
      </c>
      <c r="AJ156" s="13">
        <f t="shared" si="148"/>
        <v>-0.1827722518999193</v>
      </c>
      <c r="AK156" s="15">
        <f t="shared" si="184"/>
        <v>6.2902050000000003</v>
      </c>
      <c r="AL156" s="13">
        <f t="shared" si="128"/>
        <v>-79.196306002745544</v>
      </c>
      <c r="AM156" s="13">
        <f t="shared" si="149"/>
        <v>-2.5332905276383406</v>
      </c>
      <c r="AN156" s="17">
        <f t="shared" si="185"/>
        <v>10.255485312499999</v>
      </c>
      <c r="AO156" s="13">
        <f t="shared" si="129"/>
        <v>-6.9183921177791596</v>
      </c>
      <c r="AP156" s="13">
        <f t="shared" si="150"/>
        <v>-0.29061916376923935</v>
      </c>
      <c r="AQ156" s="10" t="s">
        <v>240</v>
      </c>
      <c r="AR156" s="10" t="s">
        <v>235</v>
      </c>
      <c r="AS156">
        <v>144.1</v>
      </c>
    </row>
    <row r="157" spans="1:45" ht="14">
      <c r="A157" s="7" t="s">
        <v>162</v>
      </c>
      <c r="B157" s="7" t="s">
        <v>72</v>
      </c>
      <c r="C157" s="4">
        <v>3.9050132221099298</v>
      </c>
      <c r="D157" s="4">
        <f t="shared" si="188"/>
        <v>8035.50585937501</v>
      </c>
      <c r="E157" s="13">
        <f t="shared" si="163"/>
        <v>6.3078720996093836</v>
      </c>
      <c r="F157" s="13">
        <f t="shared" si="164"/>
        <v>-115.00118876601557</v>
      </c>
      <c r="G157" s="13">
        <f t="shared" si="135"/>
        <v>-3.3244086118580798</v>
      </c>
      <c r="H157" s="4">
        <v>4.1245360960237099</v>
      </c>
      <c r="I157" s="9">
        <f t="shared" si="189"/>
        <v>13320.977539062436</v>
      </c>
      <c r="J157" s="13">
        <f t="shared" si="161"/>
        <v>10.456967368164012</v>
      </c>
      <c r="K157" s="13">
        <f t="shared" si="162"/>
        <v>-34.121103243553954</v>
      </c>
      <c r="L157" s="13">
        <f t="shared" si="136"/>
        <v>-1.1291798727202764</v>
      </c>
      <c r="M157" s="3">
        <v>-615</v>
      </c>
      <c r="N157" s="3">
        <v>-499</v>
      </c>
      <c r="O157" s="3">
        <f t="shared" si="181"/>
        <v>116</v>
      </c>
      <c r="P157" s="13">
        <v>0.53600000000000003</v>
      </c>
      <c r="Q157" s="13">
        <f t="shared" si="175"/>
        <v>682.80254777070058</v>
      </c>
      <c r="R157" s="13">
        <f t="shared" si="176"/>
        <v>-13.080104363653632</v>
      </c>
      <c r="S157" s="13">
        <f t="shared" si="170"/>
        <v>-0.53386200635822645</v>
      </c>
      <c r="T157" s="43">
        <v>183</v>
      </c>
      <c r="U157" s="43">
        <v>136</v>
      </c>
      <c r="V157" s="4">
        <v>12290</v>
      </c>
      <c r="W157" s="4">
        <v>8211</v>
      </c>
      <c r="X157" s="4">
        <v>13349</v>
      </c>
      <c r="Y157" s="4">
        <v>11910</v>
      </c>
      <c r="Z157" s="4">
        <v>17189</v>
      </c>
      <c r="AA157" s="4">
        <v>7493</v>
      </c>
      <c r="AB157" s="4">
        <v>7762</v>
      </c>
      <c r="AC157" s="4">
        <v>6558</v>
      </c>
      <c r="AD157" s="13">
        <f t="shared" si="142"/>
        <v>-0.72863153219992483</v>
      </c>
      <c r="AE157" s="13">
        <f t="shared" si="143"/>
        <v>-2.8316016102375041</v>
      </c>
      <c r="AF157" s="13">
        <f t="shared" si="144"/>
        <v>-0.85671808197786881</v>
      </c>
      <c r="AG157" s="13">
        <f t="shared" si="145"/>
        <v>-1.3948783961111233</v>
      </c>
      <c r="AH157" s="13">
        <f t="shared" si="146"/>
        <v>0.52170665018350859</v>
      </c>
      <c r="AI157" s="13">
        <f t="shared" si="147"/>
        <v>-2.3146714140855313</v>
      </c>
      <c r="AJ157" s="13">
        <f t="shared" si="148"/>
        <v>-2.4782340465419042</v>
      </c>
      <c r="AK157" s="15">
        <f t="shared" si="184"/>
        <v>5.1480300000000003</v>
      </c>
      <c r="AL157" s="13">
        <f t="shared" si="128"/>
        <v>-118.95394937480938</v>
      </c>
      <c r="AM157" s="13">
        <f t="shared" si="149"/>
        <v>-3.4035278317152287</v>
      </c>
      <c r="AN157" s="17">
        <f t="shared" si="185"/>
        <v>7.6849619270833331</v>
      </c>
      <c r="AO157" s="13">
        <f t="shared" si="129"/>
        <v>-42.681253388610308</v>
      </c>
      <c r="AP157" s="13">
        <f t="shared" si="150"/>
        <v>-1.5437641309878025</v>
      </c>
      <c r="AQ157" s="10" t="s">
        <v>240</v>
      </c>
      <c r="AR157" s="10" t="s">
        <v>235</v>
      </c>
      <c r="AS157">
        <v>144.1</v>
      </c>
    </row>
    <row r="158" spans="1:45" ht="14">
      <c r="A158" s="7" t="s">
        <v>162</v>
      </c>
      <c r="B158" s="7" t="s">
        <v>72</v>
      </c>
      <c r="C158" s="4">
        <v>3.85153856294035</v>
      </c>
      <c r="D158" s="4">
        <f t="shared" si="188"/>
        <v>7104.5825195311199</v>
      </c>
      <c r="E158" s="13">
        <f t="shared" si="163"/>
        <v>5.5770972778319292</v>
      </c>
      <c r="F158" s="13">
        <f t="shared" si="164"/>
        <v>-143.17309389432356</v>
      </c>
      <c r="G158" s="13">
        <f t="shared" si="135"/>
        <v>-3.8591552035538808</v>
      </c>
      <c r="H158" s="4">
        <v>4.2171666926347697</v>
      </c>
      <c r="I158" s="9">
        <f t="shared" si="189"/>
        <v>16487.951171874804</v>
      </c>
      <c r="J158" s="13">
        <f t="shared" si="161"/>
        <v>12.943041669921723</v>
      </c>
      <c r="K158" s="13">
        <f t="shared" si="162"/>
        <v>-8.3593822663233563</v>
      </c>
      <c r="L158" s="13">
        <f t="shared" si="136"/>
        <v>-0.20287390660967827</v>
      </c>
      <c r="M158" s="3">
        <v>-603</v>
      </c>
      <c r="N158" s="3">
        <v>-500</v>
      </c>
      <c r="O158" s="3">
        <f t="shared" si="181"/>
        <v>103</v>
      </c>
      <c r="P158" s="13">
        <v>0.59</v>
      </c>
      <c r="Q158" s="13">
        <f t="shared" si="175"/>
        <v>751.59235668789802</v>
      </c>
      <c r="R158" s="13">
        <f t="shared" si="176"/>
        <v>-24.472502937603792</v>
      </c>
      <c r="S158" s="13">
        <f t="shared" si="170"/>
        <v>-0.95073422585196798</v>
      </c>
      <c r="T158" s="43">
        <v>186</v>
      </c>
      <c r="U158" s="43">
        <v>158</v>
      </c>
      <c r="V158" s="4">
        <v>8870</v>
      </c>
      <c r="W158" s="4">
        <v>14519</v>
      </c>
      <c r="X158" s="4">
        <v>19832</v>
      </c>
      <c r="Y158" s="4">
        <v>12787</v>
      </c>
      <c r="Z158" s="4">
        <v>13674</v>
      </c>
      <c r="AA158" s="4">
        <v>7395</v>
      </c>
      <c r="AB158" s="4">
        <v>7704</v>
      </c>
      <c r="AC158" s="4">
        <v>5792</v>
      </c>
      <c r="AD158" s="13">
        <f t="shared" si="142"/>
        <v>-2.1449141627472019</v>
      </c>
      <c r="AE158" s="13">
        <f t="shared" si="143"/>
        <v>-0.35619507907755965</v>
      </c>
      <c r="AF158" s="13">
        <f t="shared" si="144"/>
        <v>0.86245972501715618</v>
      </c>
      <c r="AG158" s="13">
        <f t="shared" si="145"/>
        <v>-1.0863093591708401</v>
      </c>
      <c r="AH158" s="13">
        <f t="shared" si="146"/>
        <v>-0.47184371002030961</v>
      </c>
      <c r="AI158" s="13">
        <f t="shared" si="147"/>
        <v>-2.3718469567374294</v>
      </c>
      <c r="AJ158" s="13">
        <f t="shared" si="148"/>
        <v>-2.5108076894170845</v>
      </c>
      <c r="AK158" s="15">
        <f t="shared" si="184"/>
        <v>4.5467200000000005</v>
      </c>
      <c r="AL158" s="13">
        <f t="shared" si="128"/>
        <v>-147.91091160220992</v>
      </c>
      <c r="AM158" s="13">
        <f t="shared" si="149"/>
        <v>-3.942956423157788</v>
      </c>
      <c r="AN158" s="17">
        <f t="shared" si="185"/>
        <v>7.4580151562500001</v>
      </c>
      <c r="AO158" s="13">
        <f t="shared" si="129"/>
        <v>-47.023031869425203</v>
      </c>
      <c r="AP158" s="13">
        <f t="shared" si="150"/>
        <v>-1.6739487175012668</v>
      </c>
      <c r="AQ158" s="10" t="s">
        <v>240</v>
      </c>
      <c r="AR158" s="10" t="s">
        <v>235</v>
      </c>
      <c r="AS158">
        <v>144.1</v>
      </c>
    </row>
    <row r="159" spans="1:45" ht="13" customHeight="1">
      <c r="A159" s="24" t="s">
        <v>199</v>
      </c>
      <c r="B159" s="7" t="s">
        <v>73</v>
      </c>
      <c r="C159" s="4">
        <v>4.2337977672056599</v>
      </c>
      <c r="D159" s="4">
        <f t="shared" ref="D159:D160" si="190">POWER(10,C159)</f>
        <v>17131.593749999687</v>
      </c>
      <c r="E159" s="13">
        <f t="shared" si="163"/>
        <v>13.448301093749755</v>
      </c>
      <c r="F159" s="13">
        <f t="shared" si="164"/>
        <v>-0.84545181921222845</v>
      </c>
      <c r="G159" s="13">
        <f t="shared" si="135"/>
        <v>-3.6563160900778185E-2</v>
      </c>
      <c r="H159" s="4">
        <v>4.3242318800726904</v>
      </c>
      <c r="I159" s="9">
        <f t="shared" ref="I159:I160" si="191">POWER(10,H159)</f>
        <v>21097.542968749676</v>
      </c>
      <c r="J159" s="13">
        <f t="shared" si="161"/>
        <v>16.561571230468498</v>
      </c>
      <c r="K159" s="13">
        <f t="shared" si="162"/>
        <v>15.316005922203447</v>
      </c>
      <c r="L159" s="13">
        <f t="shared" si="136"/>
        <v>0.86777796776952643</v>
      </c>
      <c r="M159" s="3">
        <v>-647</v>
      </c>
      <c r="N159" s="3">
        <v>-480</v>
      </c>
      <c r="O159" s="3">
        <f t="shared" si="181"/>
        <v>167</v>
      </c>
      <c r="P159" s="13">
        <v>0.52600000000000002</v>
      </c>
      <c r="Q159" s="13">
        <f t="shared" si="175"/>
        <v>670.06369426751587</v>
      </c>
      <c r="R159" s="13">
        <f t="shared" si="176"/>
        <v>-10.97040092403323</v>
      </c>
      <c r="S159" s="13">
        <f t="shared" si="170"/>
        <v>-0.45207155096791712</v>
      </c>
      <c r="T159" s="43">
        <v>169</v>
      </c>
      <c r="U159" s="43">
        <v>155</v>
      </c>
      <c r="V159" s="4">
        <v>19752</v>
      </c>
      <c r="W159" s="4">
        <v>39943</v>
      </c>
      <c r="X159" s="4">
        <v>23102</v>
      </c>
      <c r="Y159" s="4">
        <v>19831</v>
      </c>
      <c r="Z159" s="4">
        <v>16788</v>
      </c>
      <c r="AA159" s="4">
        <v>10873</v>
      </c>
      <c r="AB159" s="4">
        <v>7987</v>
      </c>
      <c r="AC159" s="4">
        <v>10360</v>
      </c>
      <c r="AD159" s="13">
        <f t="shared" si="142"/>
        <v>1.3319604081742928</v>
      </c>
      <c r="AE159" s="13">
        <f t="shared" si="143"/>
        <v>4.0388446717375199</v>
      </c>
      <c r="AF159" s="13">
        <f t="shared" si="144"/>
        <v>1.5252903826027342</v>
      </c>
      <c r="AG159" s="13">
        <f t="shared" si="145"/>
        <v>0.81945013440804226</v>
      </c>
      <c r="AH159" s="13">
        <f t="shared" si="146"/>
        <v>0.41919013973402297</v>
      </c>
      <c r="AI159" s="13">
        <f t="shared" si="147"/>
        <v>-0.69773485974816019</v>
      </c>
      <c r="AJ159" s="13">
        <f t="shared" si="148"/>
        <v>-2.3541335862571504</v>
      </c>
      <c r="AK159" s="15">
        <f t="shared" si="184"/>
        <v>8.1326000000000001</v>
      </c>
      <c r="AL159" s="13">
        <f t="shared" si="128"/>
        <v>-38.600386100386096</v>
      </c>
      <c r="AM159" s="13">
        <f t="shared" si="149"/>
        <v>-1.4176444009565508</v>
      </c>
      <c r="AN159" s="17">
        <f t="shared" si="185"/>
        <v>10.383105052083334</v>
      </c>
      <c r="AO159" s="13">
        <f t="shared" si="129"/>
        <v>-5.604247910406257</v>
      </c>
      <c r="AP159" s="13">
        <f t="shared" si="150"/>
        <v>-0.23690885300709355</v>
      </c>
      <c r="AQ159" s="10" t="s">
        <v>239</v>
      </c>
      <c r="AR159" s="10" t="s">
        <v>235</v>
      </c>
      <c r="AS159">
        <v>371.81</v>
      </c>
    </row>
    <row r="160" spans="1:45" ht="14">
      <c r="A160" s="24" t="s">
        <v>199</v>
      </c>
      <c r="B160" s="7" t="s">
        <v>73</v>
      </c>
      <c r="C160" s="4">
        <v>4.1336279323583502</v>
      </c>
      <c r="D160" s="4">
        <f t="shared" si="190"/>
        <v>13602.788085937274</v>
      </c>
      <c r="E160" s="13">
        <f t="shared" si="163"/>
        <v>10.678188647460759</v>
      </c>
      <c r="F160" s="13">
        <f t="shared" si="164"/>
        <v>-27.006559330874925</v>
      </c>
      <c r="G160" s="13">
        <f t="shared" si="135"/>
        <v>-1.0382615093738798</v>
      </c>
      <c r="H160" s="4">
        <v>4.4205791540816897</v>
      </c>
      <c r="I160" s="9">
        <f t="shared" si="191"/>
        <v>26337.779296875018</v>
      </c>
      <c r="J160" s="13">
        <f t="shared" si="161"/>
        <v>20.675156748046891</v>
      </c>
      <c r="K160" s="13">
        <f t="shared" si="162"/>
        <v>32.164964111699454</v>
      </c>
      <c r="L160" s="13">
        <f t="shared" si="136"/>
        <v>1.8312507078595195</v>
      </c>
      <c r="M160" s="3">
        <v>-595</v>
      </c>
      <c r="N160" s="3">
        <v>-505</v>
      </c>
      <c r="O160" s="3">
        <f t="shared" si="181"/>
        <v>90</v>
      </c>
      <c r="P160" s="13">
        <v>0.33900000000000002</v>
      </c>
      <c r="Q160" s="13">
        <f t="shared" si="175"/>
        <v>431.84713375796179</v>
      </c>
      <c r="R160" s="13">
        <f t="shared" si="176"/>
        <v>28.481053396868315</v>
      </c>
      <c r="S160" s="13">
        <f t="shared" si="170"/>
        <v>1.4557889085386522</v>
      </c>
      <c r="T160" s="43">
        <v>151</v>
      </c>
      <c r="U160" s="43">
        <v>144</v>
      </c>
      <c r="V160" s="4">
        <v>27775</v>
      </c>
      <c r="W160" s="4">
        <v>35911</v>
      </c>
      <c r="X160" s="4">
        <v>31809</v>
      </c>
      <c r="Y160" s="4">
        <v>34459</v>
      </c>
      <c r="Z160" s="4">
        <v>35181</v>
      </c>
      <c r="AA160" s="4">
        <v>13394</v>
      </c>
      <c r="AB160" s="4">
        <v>11103</v>
      </c>
      <c r="AC160" s="4">
        <v>9612</v>
      </c>
      <c r="AD160" s="13">
        <f t="shared" si="142"/>
        <v>2.8123903150645866</v>
      </c>
      <c r="AE160" s="13">
        <f t="shared" si="143"/>
        <v>3.5767128577468164</v>
      </c>
      <c r="AF160" s="13">
        <f t="shared" si="144"/>
        <v>2.9142947486885413</v>
      </c>
      <c r="AG160" s="13">
        <f t="shared" si="145"/>
        <v>3.2190306897739287</v>
      </c>
      <c r="AH160" s="13">
        <f t="shared" si="146"/>
        <v>3.6322823330552185</v>
      </c>
      <c r="AI160" s="13">
        <f t="shared" si="147"/>
        <v>0.20787420593506481</v>
      </c>
      <c r="AJ160" s="13">
        <f t="shared" si="148"/>
        <v>-0.92356703243412297</v>
      </c>
      <c r="AK160" s="15">
        <f t="shared" si="184"/>
        <v>7.54542</v>
      </c>
      <c r="AL160" s="13">
        <f t="shared" si="128"/>
        <v>-49.386183936745745</v>
      </c>
      <c r="AM160" s="13">
        <f t="shared" si="149"/>
        <v>-1.7431043337300687</v>
      </c>
      <c r="AN160" s="17">
        <f t="shared" si="185"/>
        <v>15.331589687499999</v>
      </c>
      <c r="AO160" s="13">
        <f t="shared" si="129"/>
        <v>28.480997577570999</v>
      </c>
      <c r="AP160" s="13">
        <f t="shared" si="150"/>
        <v>1.4556905455450153</v>
      </c>
      <c r="AQ160" s="10" t="s">
        <v>239</v>
      </c>
      <c r="AR160" s="10" t="s">
        <v>235</v>
      </c>
      <c r="AS160">
        <v>371.81</v>
      </c>
    </row>
    <row r="161" spans="1:45" ht="14">
      <c r="A161" s="24" t="s">
        <v>199</v>
      </c>
      <c r="B161" s="7" t="s">
        <v>73</v>
      </c>
      <c r="C161" s="4">
        <v>4.1768949956114998</v>
      </c>
      <c r="D161" s="4">
        <f t="shared" ref="D161" si="192">POWER(10,C161)</f>
        <v>15027.785780431674</v>
      </c>
      <c r="E161" s="13">
        <f t="shared" ref="E161" si="193">D161*0.785/1000</f>
        <v>11.796811837638865</v>
      </c>
      <c r="F161" s="13">
        <f t="shared" ref="F161" si="194">(1-13.562/E161)*100</f>
        <v>-14.963264538382571</v>
      </c>
      <c r="G161" s="13">
        <f t="shared" ref="G161" si="195">10*LOG10(E161/13.562)</f>
        <v>-0.60559087684237722</v>
      </c>
      <c r="H161" s="4">
        <v>4.3174185261282698</v>
      </c>
      <c r="I161" s="9">
        <f t="shared" ref="I161" si="196">POWER(10,H161)</f>
        <v>20769.140588602077</v>
      </c>
      <c r="J161" s="13">
        <f t="shared" ref="J161" si="197">I161*0.785/1000</f>
        <v>16.30377536205263</v>
      </c>
      <c r="K161" s="13">
        <f t="shared" ref="K161" si="198">(1-14.025/J161)*100</f>
        <v>13.976979634769293</v>
      </c>
      <c r="L161" s="13">
        <f t="shared" ref="L161" si="199">10*LOG10(J161/13.562)</f>
        <v>0.79964442832531679</v>
      </c>
      <c r="M161" s="3">
        <v>-662</v>
      </c>
      <c r="N161" s="3">
        <v>-498</v>
      </c>
      <c r="O161" s="3">
        <f t="shared" ref="O161" si="200">N161-M161</f>
        <v>164</v>
      </c>
      <c r="P161" s="13">
        <v>0.55700000000000005</v>
      </c>
      <c r="Q161" s="13">
        <f t="shared" ref="Q161" si="201">1000*P161/(0.785)</f>
        <v>709.55414012738845</v>
      </c>
      <c r="R161" s="13">
        <f t="shared" ref="R161" si="202">(1-Q161/603.822)*100</f>
        <v>-17.510481586856464</v>
      </c>
      <c r="S161" s="13">
        <f t="shared" ref="S161" si="203">10*LOG10(603.822/Q161)</f>
        <v>-0.70076606116781526</v>
      </c>
      <c r="T161" s="43">
        <v>175</v>
      </c>
      <c r="U161" s="43">
        <v>132</v>
      </c>
      <c r="V161" s="4">
        <v>21772</v>
      </c>
      <c r="W161" s="4">
        <v>32091</v>
      </c>
      <c r="X161" s="4">
        <v>24041</v>
      </c>
      <c r="Y161" s="4">
        <v>27917</v>
      </c>
      <c r="Z161" s="4">
        <v>27557</v>
      </c>
      <c r="AA161" s="4">
        <v>12111</v>
      </c>
      <c r="AB161" s="4">
        <v>6756</v>
      </c>
      <c r="AC161" s="4">
        <v>9994</v>
      </c>
      <c r="AD161" s="13">
        <f t="shared" ref="AD161" si="204">10*LOG10(V161/14535)</f>
        <v>1.754832895385896</v>
      </c>
      <c r="AE161" s="13">
        <f t="shared" ref="AE161" si="205">10*LOG10(W161/15760)</f>
        <v>3.0882703737030113</v>
      </c>
      <c r="AF161" s="13">
        <f t="shared" ref="AF161" si="206">10*LOG10(X161/16260)</f>
        <v>1.6983198719118029</v>
      </c>
      <c r="AG161" s="13">
        <f t="shared" ref="AG161" si="207">10*LOG10(Y161/16421)</f>
        <v>2.3046914547012602</v>
      </c>
      <c r="AH161" s="13">
        <f t="shared" ref="AH161" si="208">10*LOG10(Z161/15243.33333)</f>
        <v>2.5715198966073869</v>
      </c>
      <c r="AI161" s="13">
        <f t="shared" ref="AI161" si="209">10*LOG10(AA161/12768)</f>
        <v>-0.22942869876677413</v>
      </c>
      <c r="AJ161" s="13">
        <f t="shared" ref="AJ161" si="210">10*LOG10(AB161/13734)</f>
        <v>-3.0810740215921548</v>
      </c>
      <c r="AK161" s="15">
        <f t="shared" ref="AK161" si="211">AC161*0.785/1000</f>
        <v>7.8452900000000003</v>
      </c>
      <c r="AL161" s="13">
        <f t="shared" ref="AL161" si="212">(1-11.271815/AK161)*100</f>
        <v>-43.676205723434045</v>
      </c>
      <c r="AM161" s="13">
        <f t="shared" ref="AM161" si="213">10*LOG10(AK161/11.271815)</f>
        <v>-1.5738485039830126</v>
      </c>
      <c r="AN161" s="17">
        <f t="shared" ref="AN161" si="214">(0.785/24000)*(AVERAGE(V161:W161)*0.5+AVERAGE(W161:X161)*1+AVERAGE(X161:Y161)*1+AVERAGE(Y161:Z161)*3+AVERAGE(Z161:AA161)*6+AVERAGE(AA161:AB161)*6+AVERAGE(AB161:AC161)*6)</f>
        <v>12.317197864583333</v>
      </c>
      <c r="AO161" s="13">
        <f t="shared" ref="AO161" si="215">(1-10.965/AN161)*100</f>
        <v>10.978128949859778</v>
      </c>
      <c r="AP161" s="13">
        <f t="shared" ref="AP161" si="216">10*LOG10(AN161/10.96523979)</f>
        <v>0.50493784672288511</v>
      </c>
      <c r="AQ161" s="10" t="s">
        <v>239</v>
      </c>
      <c r="AR161" s="10" t="s">
        <v>235</v>
      </c>
      <c r="AS161">
        <v>371.81</v>
      </c>
    </row>
    <row r="162" spans="1:45" ht="13" customHeight="1">
      <c r="A162" s="7" t="s">
        <v>136</v>
      </c>
      <c r="B162" s="7" t="s">
        <v>74</v>
      </c>
      <c r="C162" s="4">
        <v>4.21166750417611</v>
      </c>
      <c r="D162" s="4">
        <f t="shared" ref="D162:D164" si="217">POWER(10,C162)</f>
        <v>16280.491210937409</v>
      </c>
      <c r="E162" s="13">
        <f t="shared" si="163"/>
        <v>12.780185600585867</v>
      </c>
      <c r="F162" s="13">
        <f t="shared" si="164"/>
        <v>-6.1173947221728309</v>
      </c>
      <c r="G162" s="13">
        <f t="shared" si="135"/>
        <v>-0.25786579119628128</v>
      </c>
      <c r="H162" s="4">
        <v>4.6818211816391004</v>
      </c>
      <c r="I162" s="9">
        <f t="shared" ref="I162:I164" si="218">POWER(10,H162)</f>
        <v>48064.140624999192</v>
      </c>
      <c r="J162" s="13">
        <f t="shared" si="161"/>
        <v>37.730350390624366</v>
      </c>
      <c r="K162" s="13">
        <f t="shared" si="162"/>
        <v>62.828333543689865</v>
      </c>
      <c r="L162" s="13">
        <f t="shared" si="136"/>
        <v>4.4436709834336234</v>
      </c>
      <c r="M162" s="3">
        <v>-610</v>
      </c>
      <c r="N162" s="3">
        <v>-485</v>
      </c>
      <c r="O162" s="3">
        <f t="shared" si="181"/>
        <v>125</v>
      </c>
      <c r="P162" s="13">
        <v>0.36299999999999999</v>
      </c>
      <c r="Q162" s="13">
        <f t="shared" si="175"/>
        <v>462.42038216560508</v>
      </c>
      <c r="R162" s="13">
        <f t="shared" si="176"/>
        <v>23.417765141779356</v>
      </c>
      <c r="S162" s="13">
        <f t="shared" si="170"/>
        <v>1.1587196402083486</v>
      </c>
      <c r="T162" s="43">
        <v>179</v>
      </c>
      <c r="U162" s="43">
        <v>128</v>
      </c>
      <c r="V162" s="4">
        <v>29290</v>
      </c>
      <c r="W162" s="4">
        <v>45080</v>
      </c>
      <c r="X162" s="4">
        <v>41294</v>
      </c>
      <c r="Y162" s="4">
        <v>29534</v>
      </c>
      <c r="Z162" s="4">
        <v>19522</v>
      </c>
      <c r="AA162" s="4">
        <v>12713</v>
      </c>
      <c r="AB162" s="4">
        <v>11471</v>
      </c>
      <c r="AC162" s="4">
        <v>10930</v>
      </c>
      <c r="AD162" s="13">
        <f t="shared" si="142"/>
        <v>3.0430433557515206</v>
      </c>
      <c r="AE162" s="13">
        <f t="shared" si="143"/>
        <v>4.564276942205324</v>
      </c>
      <c r="AF162" s="13">
        <f t="shared" si="144"/>
        <v>4.047664121855032</v>
      </c>
      <c r="AG162" s="13">
        <f t="shared" si="145"/>
        <v>2.5492266945002746</v>
      </c>
      <c r="AH162" s="13">
        <f t="shared" si="146"/>
        <v>1.0744436187064028</v>
      </c>
      <c r="AI162" s="13">
        <f t="shared" si="147"/>
        <v>-1.8748270162099713E-2</v>
      </c>
      <c r="AJ162" s="13">
        <f t="shared" si="148"/>
        <v>-0.78195763295432563</v>
      </c>
      <c r="AK162" s="15">
        <f t="shared" si="184"/>
        <v>8.5800500000000017</v>
      </c>
      <c r="AL162" s="13">
        <f t="shared" si="128"/>
        <v>-31.372369624885611</v>
      </c>
      <c r="AM162" s="13">
        <f t="shared" si="149"/>
        <v>-1.1850403355516641</v>
      </c>
      <c r="AN162" s="17">
        <f t="shared" si="185"/>
        <v>13.320059895833333</v>
      </c>
      <c r="AO162" s="13">
        <f t="shared" si="129"/>
        <v>17.680550344747491</v>
      </c>
      <c r="AP162" s="13">
        <f t="shared" si="150"/>
        <v>0.84488044361292214</v>
      </c>
      <c r="AQ162" s="10" t="s">
        <v>238</v>
      </c>
      <c r="AR162" s="10" t="s">
        <v>236</v>
      </c>
      <c r="AS162">
        <v>118.16</v>
      </c>
    </row>
    <row r="163" spans="1:45" ht="14">
      <c r="A163" s="7" t="s">
        <v>136</v>
      </c>
      <c r="B163" s="7" t="s">
        <v>74</v>
      </c>
      <c r="C163" s="4">
        <v>4.1030368642658299</v>
      </c>
      <c r="D163" s="4">
        <f t="shared" si="217"/>
        <v>12677.594726562402</v>
      </c>
      <c r="E163" s="13">
        <f t="shared" si="163"/>
        <v>9.9519118603514851</v>
      </c>
      <c r="F163" s="13">
        <f t="shared" si="164"/>
        <v>-36.275322674742938</v>
      </c>
      <c r="G163" s="13">
        <f t="shared" si="135"/>
        <v>-1.3441721902990789</v>
      </c>
      <c r="H163" s="4">
        <v>4.40190094453434</v>
      </c>
      <c r="I163" s="9">
        <f t="shared" si="218"/>
        <v>25229.052734374858</v>
      </c>
      <c r="J163" s="13">
        <f t="shared" si="161"/>
        <v>19.804806396484267</v>
      </c>
      <c r="K163" s="13">
        <f t="shared" si="162"/>
        <v>29.183857093954192</v>
      </c>
      <c r="L163" s="13">
        <f t="shared" si="136"/>
        <v>1.644468612386025</v>
      </c>
      <c r="M163" s="3">
        <v>-627</v>
      </c>
      <c r="N163" s="3">
        <v>-509</v>
      </c>
      <c r="O163" s="3">
        <f t="shared" si="181"/>
        <v>118</v>
      </c>
      <c r="P163" s="13">
        <v>0.39600000000000002</v>
      </c>
      <c r="Q163" s="13">
        <f t="shared" si="175"/>
        <v>504.45859872611464</v>
      </c>
      <c r="R163" s="13">
        <f t="shared" si="176"/>
        <v>16.455743791032017</v>
      </c>
      <c r="S163" s="13">
        <f t="shared" si="170"/>
        <v>0.78083403131435003</v>
      </c>
      <c r="T163" s="43">
        <v>158</v>
      </c>
      <c r="U163" s="43">
        <v>163</v>
      </c>
      <c r="V163" s="4">
        <v>13896</v>
      </c>
      <c r="W163" s="4">
        <v>19537</v>
      </c>
      <c r="X163" s="4">
        <v>20630</v>
      </c>
      <c r="Y163" s="4">
        <v>35500</v>
      </c>
      <c r="Z163" s="4">
        <v>17823</v>
      </c>
      <c r="AA163" s="4">
        <v>8590</v>
      </c>
      <c r="AB163" s="4">
        <v>9111</v>
      </c>
      <c r="AC163" s="4">
        <v>7702</v>
      </c>
      <c r="AD163" s="13">
        <f t="shared" si="142"/>
        <v>-0.19525230667404359</v>
      </c>
      <c r="AE163" s="13">
        <f t="shared" si="143"/>
        <v>0.93301663349351394</v>
      </c>
      <c r="AF163" s="13">
        <f t="shared" si="144"/>
        <v>1.0337868671510222</v>
      </c>
      <c r="AG163" s="13">
        <f t="shared" si="145"/>
        <v>3.3482875196120427</v>
      </c>
      <c r="AH163" s="13">
        <f t="shared" si="146"/>
        <v>0.67900860530299223</v>
      </c>
      <c r="AI163" s="13">
        <f t="shared" si="147"/>
        <v>-1.721297101754119</v>
      </c>
      <c r="AJ163" s="13">
        <f t="shared" si="148"/>
        <v>-1.7823099642025888</v>
      </c>
      <c r="AK163" s="15">
        <f t="shared" si="184"/>
        <v>6.0460700000000003</v>
      </c>
      <c r="AL163" s="13">
        <f t="shared" si="128"/>
        <v>-86.432095559594899</v>
      </c>
      <c r="AM163" s="13">
        <f t="shared" si="149"/>
        <v>-2.7052068121815696</v>
      </c>
      <c r="AN163" s="17">
        <f t="shared" si="185"/>
        <v>10.442863177083334</v>
      </c>
      <c r="AO163" s="13">
        <f t="shared" si="129"/>
        <v>-4.9999393275829362</v>
      </c>
      <c r="AP163" s="13">
        <f t="shared" si="150"/>
        <v>-0.21198545460566151</v>
      </c>
      <c r="AQ163" s="10" t="s">
        <v>238</v>
      </c>
      <c r="AR163" s="10" t="s">
        <v>236</v>
      </c>
      <c r="AS163">
        <v>118.16</v>
      </c>
    </row>
    <row r="164" spans="1:45" ht="14">
      <c r="A164" s="7" t="s">
        <v>136</v>
      </c>
      <c r="B164" s="7" t="s">
        <v>74</v>
      </c>
      <c r="C164" s="4">
        <v>4.1941158697740502</v>
      </c>
      <c r="D164" s="4">
        <f t="shared" si="217"/>
        <v>15635.647460937404</v>
      </c>
      <c r="E164" s="13">
        <f t="shared" si="163"/>
        <v>12.273983256835862</v>
      </c>
      <c r="F164" s="13">
        <f t="shared" si="164"/>
        <v>-10.493877303008304</v>
      </c>
      <c r="G164" s="13">
        <f t="shared" si="135"/>
        <v>-0.43338213521687297</v>
      </c>
      <c r="H164" s="4">
        <v>4.56218822889881</v>
      </c>
      <c r="I164" s="9">
        <f t="shared" si="218"/>
        <v>36491.207031250015</v>
      </c>
      <c r="J164" s="13">
        <f t="shared" si="161"/>
        <v>28.645597519531265</v>
      </c>
      <c r="K164" s="13">
        <f t="shared" si="162"/>
        <v>51.039596955736691</v>
      </c>
      <c r="L164" s="13">
        <f t="shared" si="136"/>
        <v>3.2473414560307261</v>
      </c>
      <c r="M164" s="3">
        <v>-595</v>
      </c>
      <c r="N164" s="3">
        <v>-490</v>
      </c>
      <c r="O164" s="3">
        <f t="shared" si="181"/>
        <v>105</v>
      </c>
      <c r="P164" s="13">
        <v>0.41699999999999998</v>
      </c>
      <c r="Q164" s="13">
        <f t="shared" si="175"/>
        <v>531.21019108280257</v>
      </c>
      <c r="R164" s="13">
        <f t="shared" si="176"/>
        <v>12.025366567829165</v>
      </c>
      <c r="S164" s="13">
        <f t="shared" si="170"/>
        <v>0.55642534083189765</v>
      </c>
      <c r="T164" s="43">
        <v>155</v>
      </c>
      <c r="U164" s="43">
        <v>144</v>
      </c>
      <c r="V164" s="4">
        <v>23214</v>
      </c>
      <c r="W164" s="4">
        <v>31813</v>
      </c>
      <c r="X164" s="4">
        <v>36386</v>
      </c>
      <c r="Y164" s="4">
        <v>24612</v>
      </c>
      <c r="Z164" s="4">
        <v>20164</v>
      </c>
      <c r="AA164" s="4">
        <v>12076</v>
      </c>
      <c r="AB164" s="4">
        <v>11073</v>
      </c>
      <c r="AC164" s="4">
        <v>12895</v>
      </c>
      <c r="AD164" s="13">
        <f t="shared" si="142"/>
        <v>2.0333494399844203</v>
      </c>
      <c r="AE164" s="13">
        <f t="shared" si="143"/>
        <v>3.0504841232013074</v>
      </c>
      <c r="AF164" s="13">
        <f t="shared" si="144"/>
        <v>3.4981377392120128</v>
      </c>
      <c r="AG164" s="13">
        <f t="shared" si="145"/>
        <v>1.7574730532210128</v>
      </c>
      <c r="AH164" s="13">
        <f t="shared" si="146"/>
        <v>1.2149674220006279</v>
      </c>
      <c r="AI164" s="13">
        <f t="shared" si="147"/>
        <v>-0.24199769655594089</v>
      </c>
      <c r="AJ164" s="13">
        <f t="shared" si="148"/>
        <v>-0.93531743142866952</v>
      </c>
      <c r="AK164" s="15">
        <f t="shared" si="184"/>
        <v>10.122575000000001</v>
      </c>
      <c r="AL164" s="13">
        <f t="shared" si="128"/>
        <v>-11.353237689026741</v>
      </c>
      <c r="AM164" s="13">
        <f t="shared" si="149"/>
        <v>-0.46702849030912974</v>
      </c>
      <c r="AN164" s="17">
        <f t="shared" si="185"/>
        <v>12.546597760416667</v>
      </c>
      <c r="AO164" s="13">
        <f t="shared" si="129"/>
        <v>12.605789956911339</v>
      </c>
      <c r="AP164" s="13">
        <f t="shared" si="150"/>
        <v>0.58507841531485216</v>
      </c>
      <c r="AQ164" s="10" t="s">
        <v>238</v>
      </c>
      <c r="AR164" s="10" t="s">
        <v>236</v>
      </c>
      <c r="AS164">
        <v>118.16</v>
      </c>
    </row>
    <row r="165" spans="1:45" ht="13" customHeight="1">
      <c r="A165" s="7" t="s">
        <v>137</v>
      </c>
      <c r="B165" s="7" t="s">
        <v>75</v>
      </c>
      <c r="C165" s="4">
        <v>4.0513649053523597</v>
      </c>
      <c r="D165" s="4">
        <f t="shared" ref="D165:D167" si="219">POWER(10,C165)</f>
        <v>11255.502929687271</v>
      </c>
      <c r="E165" s="13">
        <f t="shared" si="163"/>
        <v>8.8355697998045066</v>
      </c>
      <c r="F165" s="13">
        <f t="shared" si="164"/>
        <v>-53.493213310363629</v>
      </c>
      <c r="G165" s="13">
        <f t="shared" si="135"/>
        <v>-1.8608917794337785</v>
      </c>
      <c r="H165" s="4">
        <v>3.83391019193256</v>
      </c>
      <c r="I165" s="9">
        <f t="shared" ref="I165:I167" si="220">POWER(10,H165)</f>
        <v>6821.9760742186909</v>
      </c>
      <c r="J165" s="13">
        <f t="shared" si="161"/>
        <v>5.3552512182616727</v>
      </c>
      <c r="K165" s="13">
        <f t="shared" si="162"/>
        <v>-161.89247578477838</v>
      </c>
      <c r="L165" s="13">
        <f t="shared" si="136"/>
        <v>-4.035438913631781</v>
      </c>
      <c r="M165" s="3">
        <v>-582</v>
      </c>
      <c r="N165" s="3">
        <v>-492</v>
      </c>
      <c r="O165" s="3">
        <f t="shared" si="181"/>
        <v>90</v>
      </c>
      <c r="P165" s="13">
        <v>0.44600000000000001</v>
      </c>
      <c r="Q165" s="13">
        <f t="shared" si="175"/>
        <v>568.15286624203816</v>
      </c>
      <c r="R165" s="13">
        <f t="shared" si="176"/>
        <v>5.907226592930015</v>
      </c>
      <c r="S165" s="13">
        <f t="shared" si="170"/>
        <v>0.26443730344805516</v>
      </c>
      <c r="T165" s="43">
        <v>172</v>
      </c>
      <c r="U165" s="43">
        <v>174</v>
      </c>
      <c r="X165" s="4"/>
      <c r="AD165" s="13"/>
      <c r="AE165" s="13"/>
      <c r="AF165" s="13"/>
      <c r="AG165" s="13"/>
      <c r="AH165" s="13"/>
      <c r="AI165" s="13"/>
      <c r="AJ165" s="13"/>
      <c r="AL165" s="13"/>
      <c r="AM165" s="13"/>
      <c r="AN165" s="17"/>
      <c r="AO165" s="13"/>
      <c r="AP165" s="13"/>
      <c r="AQ165" s="10" t="s">
        <v>239</v>
      </c>
      <c r="AR165" s="10" t="s">
        <v>236</v>
      </c>
      <c r="AS165">
        <v>61.08</v>
      </c>
    </row>
    <row r="166" spans="1:45" ht="14">
      <c r="A166" s="7" t="s">
        <v>137</v>
      </c>
      <c r="B166" s="7" t="s">
        <v>75</v>
      </c>
      <c r="C166" s="4">
        <v>4.02890140528869</v>
      </c>
      <c r="D166" s="4">
        <f t="shared" si="219"/>
        <v>10688.122070312465</v>
      </c>
      <c r="E166" s="13">
        <f t="shared" si="163"/>
        <v>8.3901758251952856</v>
      </c>
      <c r="F166" s="13">
        <f t="shared" si="164"/>
        <v>-61.641427814587388</v>
      </c>
      <c r="G166" s="13">
        <f t="shared" si="135"/>
        <v>-2.08552678007048</v>
      </c>
      <c r="H166" s="4">
        <v>3.9557682919514199</v>
      </c>
      <c r="I166" s="9">
        <f t="shared" si="220"/>
        <v>9031.6748046874873</v>
      </c>
      <c r="J166" s="13">
        <f t="shared" si="161"/>
        <v>7.0898647216796782</v>
      </c>
      <c r="K166" s="13">
        <f t="shared" si="162"/>
        <v>-97.81759667591092</v>
      </c>
      <c r="L166" s="13">
        <f t="shared" si="136"/>
        <v>-2.8168579134431768</v>
      </c>
      <c r="M166" s="3">
        <v>-603</v>
      </c>
      <c r="N166" s="3">
        <v>-503</v>
      </c>
      <c r="O166" s="3">
        <f t="shared" si="181"/>
        <v>100</v>
      </c>
      <c r="P166" s="13">
        <v>0.61599999999999999</v>
      </c>
      <c r="Q166" s="13">
        <f t="shared" si="175"/>
        <v>784.7133757961783</v>
      </c>
      <c r="R166" s="13">
        <f t="shared" si="176"/>
        <v>-29.957731880616855</v>
      </c>
      <c r="S166" s="13">
        <f t="shared" si="170"/>
        <v>-1.1380212310747813</v>
      </c>
      <c r="T166" s="43">
        <v>260</v>
      </c>
      <c r="U166" s="43">
        <v>224</v>
      </c>
      <c r="V166" s="4">
        <v>14241</v>
      </c>
      <c r="W166" s="4">
        <v>21240</v>
      </c>
      <c r="X166" s="4">
        <v>20180</v>
      </c>
      <c r="Y166" s="4">
        <v>16690</v>
      </c>
      <c r="Z166" s="4">
        <v>18670</v>
      </c>
      <c r="AA166" s="4">
        <v>38940</v>
      </c>
      <c r="AB166" s="4">
        <v>39810</v>
      </c>
      <c r="AC166" s="4">
        <v>25490</v>
      </c>
      <c r="AD166" s="13">
        <f t="shared" si="142"/>
        <v>-8.8745496684240949E-2</v>
      </c>
      <c r="AE166" s="13">
        <f t="shared" si="143"/>
        <v>1.2959829925589494</v>
      </c>
      <c r="AF166" s="13">
        <f t="shared" si="144"/>
        <v>0.93800620642842381</v>
      </c>
      <c r="AG166" s="13">
        <f t="shared" si="145"/>
        <v>7.0567355853568575E-2</v>
      </c>
      <c r="AH166" s="13">
        <f t="shared" si="146"/>
        <v>0.88064371383028139</v>
      </c>
      <c r="AI166" s="13">
        <f t="shared" si="147"/>
        <v>4.8427307317735862</v>
      </c>
      <c r="AJ166" s="13">
        <f t="shared" si="148"/>
        <v>4.6219513452591148</v>
      </c>
      <c r="AK166" s="15">
        <f t="shared" ref="AK166:AK200" si="221">AC166*0.785/1000</f>
        <v>20.009650000000001</v>
      </c>
      <c r="AL166" s="13">
        <f t="shared" si="128"/>
        <v>43.66810513927031</v>
      </c>
      <c r="AM166" s="13">
        <f t="shared" si="149"/>
        <v>2.4924563996439821</v>
      </c>
      <c r="AN166" s="17">
        <f t="shared" ref="AN166:AN200" si="222">(0.785/24000)*(AVERAGE(V166:W166)*0.5+AVERAGE(W166:X166)*1+AVERAGE(X166:Y166)*1+AVERAGE(Y166:Z166)*3+AVERAGE(Z166:AA166)*6+AVERAGE(AA166:AB166)*6+AVERAGE(AB166:AC166)*6)</f>
        <v>23.093236302083334</v>
      </c>
      <c r="AO166" s="13">
        <f t="shared" si="129"/>
        <v>52.518564931452239</v>
      </c>
      <c r="AP166" s="13">
        <f t="shared" ref="AP166:AP187" si="223">10*LOG10(AN166/10.965)</f>
        <v>3.2347616349729087</v>
      </c>
      <c r="AQ166" s="10" t="s">
        <v>239</v>
      </c>
      <c r="AR166" s="10" t="s">
        <v>236</v>
      </c>
      <c r="AS166">
        <v>61.08</v>
      </c>
    </row>
    <row r="167" spans="1:45" ht="14">
      <c r="A167" s="7" t="s">
        <v>137</v>
      </c>
      <c r="B167" s="7" t="s">
        <v>75</v>
      </c>
      <c r="C167" s="4">
        <v>3.9757627619056701</v>
      </c>
      <c r="D167" s="4">
        <f t="shared" si="219"/>
        <v>9457.204101562309</v>
      </c>
      <c r="E167" s="13">
        <f t="shared" si="163"/>
        <v>7.4239052197264126</v>
      </c>
      <c r="F167" s="13">
        <f t="shared" si="164"/>
        <v>-82.680133953808593</v>
      </c>
      <c r="G167" s="13">
        <f t="shared" si="135"/>
        <v>-2.6169132139006797</v>
      </c>
      <c r="H167" s="4">
        <v>3.9412210055397399</v>
      </c>
      <c r="I167" s="9">
        <f t="shared" si="220"/>
        <v>8734.1572265624618</v>
      </c>
      <c r="J167" s="13">
        <f t="shared" si="161"/>
        <v>6.8563134228515326</v>
      </c>
      <c r="K167" s="13">
        <f t="shared" si="162"/>
        <v>-104.55599292260796</v>
      </c>
      <c r="L167" s="13">
        <f t="shared" si="136"/>
        <v>-2.9623307775599823</v>
      </c>
      <c r="M167" s="3">
        <v>-589</v>
      </c>
      <c r="N167" s="3">
        <v>-502</v>
      </c>
      <c r="O167" s="3">
        <f t="shared" si="181"/>
        <v>87</v>
      </c>
      <c r="P167" s="13">
        <v>0.624</v>
      </c>
      <c r="Q167" s="13">
        <f t="shared" si="175"/>
        <v>794.90445859872614</v>
      </c>
      <c r="R167" s="13">
        <f t="shared" si="176"/>
        <v>-31.645494632313188</v>
      </c>
      <c r="S167" s="13">
        <f t="shared" si="170"/>
        <v>-1.1940600062547664</v>
      </c>
      <c r="T167" s="43">
        <v>175</v>
      </c>
      <c r="U167" s="43">
        <v>167</v>
      </c>
      <c r="V167" s="4">
        <v>13224</v>
      </c>
      <c r="W167" s="4">
        <v>14640</v>
      </c>
      <c r="X167" s="4">
        <v>16990</v>
      </c>
      <c r="Y167" s="4">
        <v>28520</v>
      </c>
      <c r="Z167" s="4">
        <v>28810</v>
      </c>
      <c r="AA167" s="4">
        <v>98360</v>
      </c>
      <c r="AB167" s="4">
        <v>27200</v>
      </c>
      <c r="AC167" s="4">
        <v>19460</v>
      </c>
      <c r="AD167" s="13">
        <f t="shared" si="142"/>
        <v>-0.41052195543055503</v>
      </c>
      <c r="AE167" s="13">
        <f t="shared" si="143"/>
        <v>-0.32015136431163449</v>
      </c>
      <c r="AF167" s="13">
        <f t="shared" si="144"/>
        <v>0.19072837610996224</v>
      </c>
      <c r="AG167" s="13">
        <f t="shared" si="145"/>
        <v>2.3974992008593814</v>
      </c>
      <c r="AH167" s="13">
        <f t="shared" si="146"/>
        <v>2.764633117143628</v>
      </c>
      <c r="AI167" s="13">
        <f t="shared" si="147"/>
        <v>8.8669564606002531</v>
      </c>
      <c r="AJ167" s="13">
        <f t="shared" si="148"/>
        <v>2.9677186097601216</v>
      </c>
      <c r="AK167" s="15">
        <f t="shared" si="221"/>
        <v>15.2761</v>
      </c>
      <c r="AL167" s="13">
        <f t="shared" si="128"/>
        <v>26.21274409044193</v>
      </c>
      <c r="AM167" s="13">
        <f t="shared" si="149"/>
        <v>1.3201864042746378</v>
      </c>
      <c r="AN167" s="17">
        <f t="shared" si="222"/>
        <v>33.679803541666665</v>
      </c>
      <c r="AO167" s="13">
        <f t="shared" si="129"/>
        <v>67.443396792873955</v>
      </c>
      <c r="AP167" s="13">
        <f t="shared" si="223"/>
        <v>4.8736091352966007</v>
      </c>
      <c r="AQ167" s="10" t="s">
        <v>239</v>
      </c>
      <c r="AR167" s="10" t="s">
        <v>236</v>
      </c>
      <c r="AS167">
        <v>61.08</v>
      </c>
    </row>
    <row r="168" spans="1:45" ht="13" customHeight="1">
      <c r="A168" s="24" t="s">
        <v>192</v>
      </c>
      <c r="B168" s="7" t="s">
        <v>76</v>
      </c>
      <c r="C168" s="4">
        <v>3.9620479618648798</v>
      </c>
      <c r="D168" s="4">
        <f t="shared" ref="D168:D169" si="224">POWER(10,C168)</f>
        <v>9163.2167968750036</v>
      </c>
      <c r="E168" s="13">
        <f t="shared" si="163"/>
        <v>7.1931251855468785</v>
      </c>
      <c r="F168" s="13">
        <f t="shared" si="164"/>
        <v>-88.541136851755041</v>
      </c>
      <c r="G168" s="13">
        <f t="shared" si="135"/>
        <v>-2.7540612143085808</v>
      </c>
      <c r="H168" s="4">
        <v>4.2271039704646496</v>
      </c>
      <c r="I168" s="9">
        <f t="shared" ref="I168:I169" si="225">POWER(10,H168)</f>
        <v>16869.568359374854</v>
      </c>
      <c r="J168" s="13">
        <f t="shared" si="161"/>
        <v>13.242611162109261</v>
      </c>
      <c r="K168" s="13">
        <f t="shared" si="162"/>
        <v>-5.9081160679954614</v>
      </c>
      <c r="L168" s="13">
        <f t="shared" si="136"/>
        <v>-0.10350112831088307</v>
      </c>
      <c r="M168" s="3">
        <v>-623</v>
      </c>
      <c r="N168" s="3">
        <v>-503</v>
      </c>
      <c r="O168" s="3">
        <f t="shared" si="181"/>
        <v>120</v>
      </c>
      <c r="P168" s="13">
        <v>0.45600000000000002</v>
      </c>
      <c r="Q168" s="13">
        <f t="shared" si="175"/>
        <v>580.89171974522287</v>
      </c>
      <c r="R168" s="13">
        <f t="shared" si="176"/>
        <v>3.797523153309601</v>
      </c>
      <c r="S168" s="13">
        <f t="shared" si="170"/>
        <v>0.16813746392512399</v>
      </c>
      <c r="T168" s="43">
        <v>179</v>
      </c>
      <c r="U168" s="43">
        <v>132</v>
      </c>
      <c r="V168" s="4">
        <v>11714</v>
      </c>
      <c r="W168" s="4">
        <v>27181</v>
      </c>
      <c r="X168" s="4">
        <v>25144</v>
      </c>
      <c r="Y168" s="4">
        <v>11804</v>
      </c>
      <c r="Z168" s="4">
        <v>6465</v>
      </c>
      <c r="AA168" s="4">
        <v>5863</v>
      </c>
      <c r="AB168" s="4">
        <v>6395</v>
      </c>
      <c r="AC168" s="4">
        <v>11609</v>
      </c>
      <c r="AD168" s="13">
        <f t="shared" si="142"/>
        <v>-0.93709816414505365</v>
      </c>
      <c r="AE168" s="13">
        <f t="shared" si="143"/>
        <v>2.3670921740676794</v>
      </c>
      <c r="AF168" s="13">
        <f t="shared" si="144"/>
        <v>1.8931382675147421</v>
      </c>
      <c r="AG168" s="13">
        <f t="shared" si="145"/>
        <v>-1.4337040026596795</v>
      </c>
      <c r="AH168" s="13">
        <f t="shared" si="146"/>
        <v>-3.7251141734963737</v>
      </c>
      <c r="AI168" s="13">
        <f t="shared" si="147"/>
        <v>-3.380029798218569</v>
      </c>
      <c r="AJ168" s="13">
        <f t="shared" si="148"/>
        <v>-3.3195649424351381</v>
      </c>
      <c r="AK168" s="15">
        <f t="shared" si="221"/>
        <v>9.1130650000000006</v>
      </c>
      <c r="AL168" s="13">
        <f t="shared" si="128"/>
        <v>-23.68851752950296</v>
      </c>
      <c r="AM168" s="13">
        <f t="shared" si="149"/>
        <v>-0.92329384309486096</v>
      </c>
      <c r="AN168" s="17">
        <f t="shared" si="222"/>
        <v>6.8534997395833335</v>
      </c>
      <c r="AO168" s="13">
        <f t="shared" si="129"/>
        <v>-59.991251428377957</v>
      </c>
      <c r="AP168" s="13">
        <f t="shared" si="223"/>
        <v>-2.0409623540431108</v>
      </c>
      <c r="AQ168" s="10" t="s">
        <v>239</v>
      </c>
      <c r="AR168" s="10" t="s">
        <v>235</v>
      </c>
      <c r="AS168">
        <v>211.22</v>
      </c>
    </row>
    <row r="169" spans="1:45" ht="14">
      <c r="A169" s="24" t="s">
        <v>192</v>
      </c>
      <c r="B169" s="7" t="s">
        <v>76</v>
      </c>
      <c r="C169" s="4">
        <v>4.0933902515784997</v>
      </c>
      <c r="D169" s="4">
        <f t="shared" si="224"/>
        <v>12399.102539062367</v>
      </c>
      <c r="E169" s="13">
        <f t="shared" si="163"/>
        <v>9.7332954931639577</v>
      </c>
      <c r="F169" s="13">
        <f t="shared" si="164"/>
        <v>-39.336158133954498</v>
      </c>
      <c r="G169" s="13">
        <f t="shared" si="135"/>
        <v>-1.4406383171723824</v>
      </c>
      <c r="H169" s="4">
        <v>4.4367311801350402</v>
      </c>
      <c r="I169" s="9">
        <f t="shared" si="225"/>
        <v>27335.761718749436</v>
      </c>
      <c r="J169" s="13">
        <f t="shared" si="161"/>
        <v>21.458572949218308</v>
      </c>
      <c r="K169" s="13">
        <f t="shared" si="162"/>
        <v>34.641506528928325</v>
      </c>
      <c r="L169" s="13">
        <f t="shared" si="136"/>
        <v>1.992770968393021</v>
      </c>
      <c r="M169" s="3">
        <v>-636</v>
      </c>
      <c r="N169" s="3">
        <v>-517</v>
      </c>
      <c r="O169" s="3">
        <f t="shared" si="181"/>
        <v>119</v>
      </c>
      <c r="P169" s="13">
        <v>0.41099999999999998</v>
      </c>
      <c r="Q169" s="13">
        <f t="shared" si="175"/>
        <v>523.56687898089172</v>
      </c>
      <c r="R169" s="13">
        <f t="shared" si="176"/>
        <v>13.291188631601415</v>
      </c>
      <c r="S169" s="13">
        <f t="shared" si="170"/>
        <v>0.61936767180878161</v>
      </c>
      <c r="T169" s="43">
        <v>160</v>
      </c>
      <c r="U169" s="43">
        <v>124</v>
      </c>
      <c r="V169" s="4">
        <v>13428</v>
      </c>
      <c r="W169" s="4">
        <v>34863</v>
      </c>
      <c r="X169" s="4">
        <v>32424</v>
      </c>
      <c r="Y169" s="4">
        <v>17066</v>
      </c>
      <c r="Z169" s="4">
        <v>11946</v>
      </c>
      <c r="AA169" s="4">
        <v>7608</v>
      </c>
      <c r="AB169" s="4">
        <v>7368</v>
      </c>
      <c r="AC169" s="4">
        <v>12766</v>
      </c>
      <c r="AD169" s="13">
        <f t="shared" si="142"/>
        <v>-0.3440370353047168</v>
      </c>
      <c r="AE169" s="13">
        <f t="shared" si="143"/>
        <v>3.4480854275258976</v>
      </c>
      <c r="AF169" s="13">
        <f t="shared" si="144"/>
        <v>2.9974604947558725</v>
      </c>
      <c r="AG169" s="13">
        <f t="shared" si="145"/>
        <v>0.16732140202730134</v>
      </c>
      <c r="AH169" s="13">
        <f t="shared" si="146"/>
        <v>-1.0585743615499703</v>
      </c>
      <c r="AI169" s="13">
        <f t="shared" si="147"/>
        <v>-2.2485237007729668</v>
      </c>
      <c r="AJ169" s="13">
        <f t="shared" si="148"/>
        <v>-2.7044742586939408</v>
      </c>
      <c r="AK169" s="15">
        <f t="shared" si="221"/>
        <v>10.02131</v>
      </c>
      <c r="AL169" s="13">
        <f t="shared" si="128"/>
        <v>-12.47845840513866</v>
      </c>
      <c r="AM169" s="13">
        <f t="shared" si="149"/>
        <v>-0.51069355411082906</v>
      </c>
      <c r="AN169" s="17">
        <f t="shared" si="222"/>
        <v>9.0919763020833333</v>
      </c>
      <c r="AO169" s="13">
        <f t="shared" si="129"/>
        <v>-20.600842277684794</v>
      </c>
      <c r="AP169" s="13">
        <f t="shared" si="223"/>
        <v>-0.81350340932435738</v>
      </c>
      <c r="AQ169" s="10" t="s">
        <v>239</v>
      </c>
      <c r="AR169" s="10" t="s">
        <v>235</v>
      </c>
      <c r="AS169">
        <v>211.22</v>
      </c>
    </row>
    <row r="170" spans="1:45" ht="14">
      <c r="A170" s="24" t="s">
        <v>192</v>
      </c>
      <c r="B170" s="7" t="s">
        <v>76</v>
      </c>
      <c r="C170" s="4">
        <v>4.0713090886984498</v>
      </c>
      <c r="D170" s="4">
        <f t="shared" ref="D170" si="226">POWER(10,C170)</f>
        <v>11784.443775716392</v>
      </c>
      <c r="E170" s="13">
        <f t="shared" ref="E170" si="227">D170*0.785/1000</f>
        <v>9.2507883639373691</v>
      </c>
      <c r="F170" s="13">
        <f t="shared" ref="F170" si="228">(1-13.562/E170)*100</f>
        <v>-46.603721395996466</v>
      </c>
      <c r="G170" s="13">
        <f t="shared" ref="G170" si="229">10*LOG10(E170/13.562)</f>
        <v>-1.661449945972882</v>
      </c>
      <c r="H170" s="4">
        <v>4.2805880377974503</v>
      </c>
      <c r="I170" s="9">
        <f t="shared" ref="I170" si="230">POWER(10,H170)</f>
        <v>19080.424727030062</v>
      </c>
      <c r="J170" s="13">
        <f t="shared" ref="J170" si="231">I170*0.785/1000</f>
        <v>14.9781334107186</v>
      </c>
      <c r="K170" s="13">
        <f t="shared" ref="K170" si="232">(1-14.025/J170)*100</f>
        <v>6.3634992731238622</v>
      </c>
      <c r="L170" s="13">
        <f t="shared" ref="L170" si="233">10*LOG10(J170/13.562)</f>
        <v>0.4313395450171284</v>
      </c>
      <c r="M170" s="3">
        <v>-645</v>
      </c>
      <c r="N170" s="3">
        <v>-509</v>
      </c>
      <c r="O170" s="3">
        <f t="shared" ref="O170" si="234">N170-M170</f>
        <v>136</v>
      </c>
      <c r="P170" s="13">
        <v>0.44700000000000001</v>
      </c>
      <c r="Q170" s="13">
        <f t="shared" ref="Q170" si="235">1000*P170/(0.785)</f>
        <v>569.42675159235671</v>
      </c>
      <c r="R170" s="13">
        <f t="shared" ref="R170" si="236">(1-Q170/603.822)*100</f>
        <v>5.6962562489679573</v>
      </c>
      <c r="S170" s="13">
        <f t="shared" ref="S170" si="237">10*LOG10(603.822/Q170)</f>
        <v>0.25471065925010872</v>
      </c>
      <c r="T170" s="43">
        <v>153</v>
      </c>
      <c r="U170" s="43">
        <v>145</v>
      </c>
      <c r="V170" s="4">
        <v>13573</v>
      </c>
      <c r="W170" s="4">
        <v>31094</v>
      </c>
      <c r="X170" s="4">
        <v>28193</v>
      </c>
      <c r="Y170" s="4">
        <v>14492</v>
      </c>
      <c r="Z170" s="4">
        <v>9049</v>
      </c>
      <c r="AA170" s="4">
        <v>6766</v>
      </c>
      <c r="AB170" s="4">
        <v>6398</v>
      </c>
      <c r="AC170" s="4">
        <v>12318</v>
      </c>
      <c r="AD170" s="13">
        <f t="shared" ref="AD170" si="238">10*LOG10(V170/14535)</f>
        <v>-0.29739187013484375</v>
      </c>
      <c r="AE170" s="13">
        <f t="shared" ref="AE170" si="239">10*LOG10(W170/15760)</f>
        <v>2.9512038107317546</v>
      </c>
      <c r="AF170" s="13">
        <f t="shared" ref="AF170" si="240">10*LOG10(X170/16260)</f>
        <v>2.3902075008441974</v>
      </c>
      <c r="AG170" s="13">
        <f t="shared" ref="AG170" si="241">10*LOG10(Y170/16421)</f>
        <v>-0.54271275731390578</v>
      </c>
      <c r="AH170" s="13">
        <f t="shared" ref="AH170" si="242">10*LOG10(Z170/15243.33333)</f>
        <v>-2.2647935835287347</v>
      </c>
      <c r="AI170" s="13">
        <f t="shared" ref="AI170" si="243">10*LOG10(AA170/12768)</f>
        <v>-2.7579088055469247</v>
      </c>
      <c r="AJ170" s="13">
        <f t="shared" ref="AJ170" si="244">10*LOG10(AB170/13734)</f>
        <v>-3.3175280731009833</v>
      </c>
      <c r="AK170" s="15">
        <f t="shared" ref="AK170" si="245">AC170*0.785/1000</f>
        <v>9.6696300000000015</v>
      </c>
      <c r="AL170" s="13">
        <f t="shared" ref="AL170" si="246">(1-11.271815/AK170)*100</f>
        <v>-16.569248254586768</v>
      </c>
      <c r="AM170" s="13">
        <f t="shared" ref="AM170" si="247">10*LOG10(AK170/11.271815)</f>
        <v>-0.66583995750633773</v>
      </c>
      <c r="AN170" s="17">
        <f t="shared" ref="AN170" si="248">(0.785/24000)*(AVERAGE(V170:W170)*0.5+AVERAGE(W170:X170)*1+AVERAGE(X170:Y170)*1+AVERAGE(Y170:Z170)*3+AVERAGE(Z170:AA170)*6+AVERAGE(AA170:AB170)*6+AVERAGE(AB170:AC170)*6)</f>
        <v>7.8679650520833331</v>
      </c>
      <c r="AO170" s="13">
        <f t="shared" ref="AO170" si="249">(1-10.965/AN170)*100</f>
        <v>-39.362591564849581</v>
      </c>
      <c r="AP170" s="13">
        <f t="shared" ref="AP170" si="250">10*LOG10(AN170/10.965)</f>
        <v>-1.4414621381060841</v>
      </c>
      <c r="AQ170" s="10" t="s">
        <v>239</v>
      </c>
      <c r="AR170" s="10" t="s">
        <v>235</v>
      </c>
      <c r="AS170">
        <v>211.22</v>
      </c>
    </row>
    <row r="171" spans="1:45" ht="13" customHeight="1">
      <c r="A171" s="7" t="s">
        <v>158</v>
      </c>
      <c r="B171" s="7" t="s">
        <v>77</v>
      </c>
      <c r="C171" s="4">
        <v>5.3528394343052401</v>
      </c>
      <c r="D171" s="4">
        <f t="shared" ref="D171:D173" si="251">POWER(10,C171)</f>
        <v>225340.59374999782</v>
      </c>
      <c r="E171" s="13">
        <f t="shared" si="163"/>
        <v>176.89236609374831</v>
      </c>
      <c r="F171" s="13">
        <f t="shared" si="164"/>
        <v>92.333190911804238</v>
      </c>
      <c r="G171" s="13">
        <f t="shared" si="135"/>
        <v>11.153853510095024</v>
      </c>
      <c r="H171" s="4">
        <v>5.4408856751648198</v>
      </c>
      <c r="I171" s="9">
        <f t="shared" ref="I171:I172" si="252">POWER(10,H171)</f>
        <v>275985.12499999761</v>
      </c>
      <c r="J171" s="13">
        <f t="shared" si="161"/>
        <v>216.64832312499814</v>
      </c>
      <c r="K171" s="13">
        <f t="shared" si="162"/>
        <v>93.526375003646763</v>
      </c>
      <c r="L171" s="13">
        <f t="shared" si="136"/>
        <v>12.034315918690819</v>
      </c>
      <c r="M171" s="3">
        <v>-622</v>
      </c>
      <c r="N171" s="3">
        <v>-440</v>
      </c>
      <c r="O171" s="3">
        <f t="shared" si="181"/>
        <v>182</v>
      </c>
      <c r="P171" s="13">
        <v>2.7E-2</v>
      </c>
      <c r="Q171" s="13">
        <f t="shared" si="175"/>
        <v>34.394904458598724</v>
      </c>
      <c r="R171" s="13">
        <f t="shared" si="176"/>
        <v>94.303800713024913</v>
      </c>
      <c r="S171" s="13">
        <f t="shared" si="170"/>
        <v>12.444148248979602</v>
      </c>
      <c r="T171" s="43">
        <v>186</v>
      </c>
      <c r="U171" s="43">
        <v>154</v>
      </c>
      <c r="V171" s="4">
        <v>114740</v>
      </c>
      <c r="W171" s="4">
        <v>328311</v>
      </c>
      <c r="X171" s="4">
        <v>297166</v>
      </c>
      <c r="Y171" s="4">
        <v>338094</v>
      </c>
      <c r="Z171" s="4">
        <v>392136</v>
      </c>
      <c r="AA171" s="4">
        <v>181668</v>
      </c>
      <c r="AB171" s="4">
        <v>177590</v>
      </c>
      <c r="AC171" s="4">
        <v>161381</v>
      </c>
      <c r="AD171" s="13">
        <f t="shared" si="142"/>
        <v>8.972998094399756</v>
      </c>
      <c r="AE171" s="13">
        <f t="shared" si="143"/>
        <v>13.187292207767472</v>
      </c>
      <c r="AF171" s="13">
        <f t="shared" si="144"/>
        <v>12.618785772319923</v>
      </c>
      <c r="AG171" s="13">
        <f t="shared" si="145"/>
        <v>13.136378625141951</v>
      </c>
      <c r="AH171" s="13">
        <f t="shared" si="146"/>
        <v>14.103567679189569</v>
      </c>
      <c r="AI171" s="13">
        <f t="shared" si="147"/>
        <v>11.531555610210646</v>
      </c>
      <c r="AJ171" s="13">
        <f t="shared" si="148"/>
        <v>11.116214641778011</v>
      </c>
      <c r="AK171" s="15">
        <f t="shared" si="221"/>
        <v>126.68408500000001</v>
      </c>
      <c r="AL171" s="13">
        <f t="shared" si="128"/>
        <v>91.102422218228909</v>
      </c>
      <c r="AM171" s="13">
        <f t="shared" si="149"/>
        <v>10.507282067468394</v>
      </c>
      <c r="AN171" s="17">
        <f t="shared" si="222"/>
        <v>184.88631546875001</v>
      </c>
      <c r="AO171" s="13">
        <f t="shared" si="129"/>
        <v>94.069328510225333</v>
      </c>
      <c r="AP171" s="13">
        <f t="shared" si="223"/>
        <v>12.268961316283438</v>
      </c>
      <c r="AQ171" s="10" t="s">
        <v>238</v>
      </c>
      <c r="AR171" s="10" t="s">
        <v>236</v>
      </c>
      <c r="AS171">
        <v>171.31</v>
      </c>
    </row>
    <row r="172" spans="1:45" ht="14">
      <c r="A172" s="7" t="s">
        <v>158</v>
      </c>
      <c r="B172" s="7" t="s">
        <v>77</v>
      </c>
      <c r="C172" s="4">
        <v>5.2293439778711601</v>
      </c>
      <c r="D172" s="4">
        <f t="shared" si="251"/>
        <v>169568.03124999991</v>
      </c>
      <c r="E172" s="13">
        <f t="shared" si="163"/>
        <v>133.11090453124996</v>
      </c>
      <c r="F172" s="13">
        <f t="shared" si="164"/>
        <v>89.811503386774675</v>
      </c>
      <c r="G172" s="13">
        <f t="shared" si="135"/>
        <v>9.918898945754222</v>
      </c>
      <c r="H172" s="4">
        <v>5.5169868269142803</v>
      </c>
      <c r="I172" s="9">
        <f t="shared" si="252"/>
        <v>328841.65624999953</v>
      </c>
      <c r="J172" s="13">
        <f t="shared" si="161"/>
        <v>258.14070015624964</v>
      </c>
      <c r="K172" s="13">
        <f t="shared" si="162"/>
        <v>94.566916417476662</v>
      </c>
      <c r="L172" s="13">
        <f t="shared" si="136"/>
        <v>12.795327436185428</v>
      </c>
      <c r="M172" s="3">
        <v>-674</v>
      </c>
      <c r="N172" s="3">
        <v>-499</v>
      </c>
      <c r="O172" s="3">
        <f>N172-M172</f>
        <v>175</v>
      </c>
      <c r="P172" s="13">
        <v>4.5999999999999999E-2</v>
      </c>
      <c r="Q172" s="13">
        <f t="shared" si="175"/>
        <v>58.598726114649679</v>
      </c>
      <c r="R172" s="13">
        <f t="shared" si="176"/>
        <v>90.295364177746137</v>
      </c>
      <c r="S172" s="13">
        <f t="shared" si="170"/>
        <v>10.130207573753733</v>
      </c>
      <c r="T172" s="43">
        <v>191</v>
      </c>
      <c r="U172" s="43">
        <v>131</v>
      </c>
      <c r="V172" s="4">
        <v>102666</v>
      </c>
      <c r="W172" s="4">
        <v>115299</v>
      </c>
      <c r="X172" s="4">
        <v>498706</v>
      </c>
      <c r="Y172" s="4">
        <v>474424</v>
      </c>
      <c r="Z172" s="4">
        <v>368753</v>
      </c>
      <c r="AA172" s="4">
        <v>229429</v>
      </c>
      <c r="AB172" s="4">
        <v>184215</v>
      </c>
      <c r="AC172" s="4">
        <v>112629</v>
      </c>
      <c r="AD172" s="13">
        <f t="shared" si="142"/>
        <v>8.4901160557114075</v>
      </c>
      <c r="AE172" s="13">
        <f t="shared" si="143"/>
        <v>8.6426932747711014</v>
      </c>
      <c r="AF172" s="13">
        <f t="shared" si="144"/>
        <v>14.867240520479738</v>
      </c>
      <c r="AG172" s="13">
        <f t="shared" si="145"/>
        <v>14.607670497596224</v>
      </c>
      <c r="AH172" s="13">
        <f t="shared" si="146"/>
        <v>13.836556156490394</v>
      </c>
      <c r="AI172" s="13">
        <f t="shared" si="147"/>
        <v>12.545254381809221</v>
      </c>
      <c r="AJ172" s="13">
        <f t="shared" si="148"/>
        <v>11.275279473628929</v>
      </c>
      <c r="AK172" s="15">
        <f t="shared" si="221"/>
        <v>88.413764999999998</v>
      </c>
      <c r="AL172" s="13">
        <f t="shared" si="128"/>
        <v>87.251063225279452</v>
      </c>
      <c r="AM172" s="13">
        <f t="shared" si="149"/>
        <v>8.9452603265165695</v>
      </c>
      <c r="AN172" s="17">
        <f t="shared" si="222"/>
        <v>197.52020359375001</v>
      </c>
      <c r="AO172" s="13">
        <f t="shared" si="129"/>
        <v>94.44866914852301</v>
      </c>
      <c r="AP172" s="13">
        <f t="shared" si="223"/>
        <v>12.556028885591626</v>
      </c>
      <c r="AQ172" s="10" t="s">
        <v>238</v>
      </c>
      <c r="AR172" s="10" t="s">
        <v>236</v>
      </c>
      <c r="AS172">
        <v>171.31</v>
      </c>
    </row>
    <row r="173" spans="1:45" ht="14">
      <c r="A173" s="7" t="s">
        <v>158</v>
      </c>
      <c r="B173" s="7" t="s">
        <v>77</v>
      </c>
      <c r="C173" s="37">
        <v>5.3289150687258804</v>
      </c>
      <c r="D173" s="37">
        <f t="shared" si="251"/>
        <v>213262.7812500002</v>
      </c>
      <c r="E173" s="13">
        <f t="shared" ref="E173" si="253">D173*0.785/1000</f>
        <v>167.41128328125015</v>
      </c>
      <c r="F173" s="13">
        <f t="shared" ref="F173" si="254">(1-13.562/E173)*100</f>
        <v>91.898992867036384</v>
      </c>
      <c r="G173" s="13">
        <f t="shared" ref="G173" si="255">10*LOG10(E173/13.562)</f>
        <v>10.914609854301423</v>
      </c>
      <c r="H173" s="37">
        <v>5.1765516385386903</v>
      </c>
      <c r="I173" s="9">
        <f t="shared" ref="I173" si="256">POWER(10,H173)</f>
        <v>150159.09375000017</v>
      </c>
      <c r="J173" s="13">
        <f t="shared" ref="J173" si="257">I173*0.785/1000</f>
        <v>117.87488859375014</v>
      </c>
      <c r="K173" s="13">
        <f t="shared" ref="K173" si="258">(1-14.025/J173)*100</f>
        <v>88.101791511899989</v>
      </c>
      <c r="L173" s="13">
        <f t="shared" ref="L173" si="259">10*LOG10(J173/13.562)</f>
        <v>9.3909755524295235</v>
      </c>
      <c r="M173" s="42">
        <v>-639</v>
      </c>
      <c r="N173" s="42">
        <v>-471</v>
      </c>
      <c r="O173" s="43">
        <f>N173-M173</f>
        <v>168</v>
      </c>
      <c r="P173" s="41">
        <v>2.4E-2</v>
      </c>
      <c r="Q173" s="13">
        <f t="shared" ref="Q173" si="260">1000*P173/(0.785)</f>
        <v>30.573248407643312</v>
      </c>
      <c r="R173" s="13">
        <f t="shared" ref="R173" si="261">(1-Q173/603.822)*100</f>
        <v>94.936711744911022</v>
      </c>
      <c r="S173" s="13">
        <f t="shared" ref="S173" si="262">10*LOG10(603.822/Q173)</f>
        <v>12.955673473453412</v>
      </c>
      <c r="T173" s="42">
        <v>135</v>
      </c>
      <c r="U173" s="42">
        <v>103</v>
      </c>
      <c r="V173" s="37">
        <v>101959</v>
      </c>
      <c r="W173" s="37">
        <v>85828</v>
      </c>
      <c r="X173" s="37">
        <v>64759</v>
      </c>
      <c r="Y173" s="37">
        <v>67731</v>
      </c>
      <c r="Z173" s="37">
        <v>126025</v>
      </c>
      <c r="AA173" s="37">
        <v>196721</v>
      </c>
      <c r="AB173" s="37">
        <v>125770</v>
      </c>
      <c r="AC173" s="37">
        <v>186180</v>
      </c>
      <c r="AD173" s="13">
        <f t="shared" ref="AD173" si="263">10*LOG10(V173/14535)</f>
        <v>8.4601053121048082</v>
      </c>
      <c r="AE173" s="13">
        <f t="shared" ref="AE173" si="264">10*LOG10(W173/15760)</f>
        <v>7.3607277937740232</v>
      </c>
      <c r="AF173" s="13">
        <f t="shared" ref="AF173" si="265">10*LOG10(X173/16260)</f>
        <v>6.0017959255653182</v>
      </c>
      <c r="AG173" s="13">
        <f t="shared" ref="AG173" si="266">10*LOG10(Y173/16421)</f>
        <v>6.1538788660867496</v>
      </c>
      <c r="AH173" s="13">
        <f t="shared" ref="AH173" si="267">10*LOG10(Z173/15243.33333)</f>
        <v>9.1737675954413795</v>
      </c>
      <c r="AI173" s="13">
        <f t="shared" ref="AI173" si="268">10*LOG10(AA173/12768)</f>
        <v>11.877278493967296</v>
      </c>
      <c r="AJ173" s="13">
        <f t="shared" ref="AJ173" si="269">10*LOG10(AB173/13734)</f>
        <v>9.6178001785852185</v>
      </c>
      <c r="AK173" s="15">
        <f t="shared" ref="AK173" si="270">AC173*0.785/1000</f>
        <v>146.15130000000002</v>
      </c>
      <c r="AL173" s="13">
        <f t="shared" ref="AL173" si="271">(1-11.271815/AK173)*100</f>
        <v>92.28757116768719</v>
      </c>
      <c r="AM173" s="13">
        <f t="shared" ref="AM173" si="272">10*LOG10(AK173/11.271815)</f>
        <v>11.128088304629401</v>
      </c>
      <c r="AN173" s="17">
        <f t="shared" ref="AN173" si="273">(0.785/24000)*(AVERAGE(V173:W173)*0.5+AVERAGE(W173:X173)*1+AVERAGE(X173:Y173)*1+AVERAGE(Y173:Z173)*3+AVERAGE(Z173:AA173)*6+AVERAGE(AA173:AB173)*6+AVERAGE(AB173:AC173)*6)</f>
        <v>109.59516651041666</v>
      </c>
      <c r="AO173" s="13">
        <f t="shared" ref="AO173" si="274">(1-10.965/AN173)*100</f>
        <v>89.994996723730679</v>
      </c>
      <c r="AP173" s="13">
        <f t="shared" ref="AP173" si="275">10*LOG10(AN173/10.965)</f>
        <v>9.997827648123323</v>
      </c>
      <c r="AQ173" s="10" t="s">
        <v>238</v>
      </c>
      <c r="AR173" s="10" t="s">
        <v>236</v>
      </c>
      <c r="AS173">
        <v>171.31</v>
      </c>
    </row>
    <row r="174" spans="1:45" ht="13" customHeight="1">
      <c r="A174" s="7" t="s">
        <v>139</v>
      </c>
      <c r="B174" s="7" t="s">
        <v>78</v>
      </c>
      <c r="C174" s="4">
        <v>5.9316567284677797</v>
      </c>
      <c r="D174" s="4">
        <f t="shared" ref="D174:D176" si="276">POWER(10,C174)</f>
        <v>854391.1249999915</v>
      </c>
      <c r="E174" s="13">
        <f t="shared" si="163"/>
        <v>670.69703312499337</v>
      </c>
      <c r="F174" s="13">
        <f t="shared" si="164"/>
        <v>97.97792455755912</v>
      </c>
      <c r="G174" s="13">
        <f t="shared" si="135"/>
        <v>16.942026451720423</v>
      </c>
      <c r="H174" s="4">
        <v>5.6335913410058804</v>
      </c>
      <c r="I174" s="9">
        <f t="shared" ref="I174:I176" si="277">POWER(10,H174)</f>
        <v>430121.6874999947</v>
      </c>
      <c r="J174" s="13">
        <f t="shared" si="161"/>
        <v>337.64552468749582</v>
      </c>
      <c r="K174" s="13">
        <f t="shared" si="162"/>
        <v>95.846235482321092</v>
      </c>
      <c r="L174" s="13">
        <f t="shared" si="136"/>
        <v>13.961372577101429</v>
      </c>
      <c r="M174" s="3">
        <v>-651</v>
      </c>
      <c r="N174" s="3">
        <v>-497</v>
      </c>
      <c r="O174" s="3">
        <f t="shared" si="181"/>
        <v>154</v>
      </c>
      <c r="P174" s="13">
        <v>2.5000000000000001E-2</v>
      </c>
      <c r="Q174" s="13">
        <f t="shared" si="175"/>
        <v>31.847133757961782</v>
      </c>
      <c r="R174" s="13">
        <f t="shared" si="176"/>
        <v>94.725741400948991</v>
      </c>
      <c r="S174" s="13">
        <f t="shared" si="170"/>
        <v>12.778385803849098</v>
      </c>
      <c r="T174" s="43">
        <v>200</v>
      </c>
      <c r="U174" s="43">
        <v>105</v>
      </c>
      <c r="V174" s="4">
        <v>92000</v>
      </c>
      <c r="W174" s="4">
        <v>157300</v>
      </c>
      <c r="X174" s="4">
        <v>169800</v>
      </c>
      <c r="Y174" s="4">
        <v>402400</v>
      </c>
      <c r="Z174" s="4">
        <v>570900</v>
      </c>
      <c r="AA174" s="4">
        <v>628400</v>
      </c>
      <c r="AB174" s="4">
        <v>707600</v>
      </c>
      <c r="AC174" s="4">
        <v>612300</v>
      </c>
      <c r="AD174" s="13">
        <f t="shared" si="142"/>
        <v>8.0137279123910865</v>
      </c>
      <c r="AE174" s="13">
        <f t="shared" si="143"/>
        <v>9.9917250946975038</v>
      </c>
      <c r="AF174" s="13">
        <f t="shared" si="144"/>
        <v>10.188171446498844</v>
      </c>
      <c r="AG174" s="13">
        <f t="shared" si="145"/>
        <v>13.892583709539812</v>
      </c>
      <c r="AH174" s="13">
        <f t="shared" si="146"/>
        <v>15.734800964406329</v>
      </c>
      <c r="AI174" s="13">
        <f t="shared" si="147"/>
        <v>16.921133023612814</v>
      </c>
      <c r="AJ174" s="13">
        <f t="shared" si="148"/>
        <v>17.119907811794988</v>
      </c>
      <c r="AK174" s="15">
        <f t="shared" si="221"/>
        <v>480.65550000000002</v>
      </c>
      <c r="AL174" s="13">
        <f t="shared" si="128"/>
        <v>97.654907724971423</v>
      </c>
      <c r="AM174" s="13">
        <f t="shared" si="149"/>
        <v>16.298400639308635</v>
      </c>
      <c r="AN174" s="17">
        <f t="shared" si="222"/>
        <v>442.78988020833333</v>
      </c>
      <c r="AO174" s="13">
        <f t="shared" si="129"/>
        <v>97.523656142538542</v>
      </c>
      <c r="AP174" s="13">
        <f t="shared" si="223"/>
        <v>16.061890506739449</v>
      </c>
      <c r="AQ174" s="10" t="s">
        <v>238</v>
      </c>
      <c r="AR174" s="10" t="s">
        <v>236</v>
      </c>
      <c r="AS174">
        <v>164.29</v>
      </c>
    </row>
    <row r="175" spans="1:45" ht="14">
      <c r="A175" s="7" t="s">
        <v>139</v>
      </c>
      <c r="B175" s="7" t="s">
        <v>78</v>
      </c>
      <c r="C175" s="4">
        <v>5.7707218418091202</v>
      </c>
      <c r="D175" s="4">
        <f t="shared" si="276"/>
        <v>589823.18749999837</v>
      </c>
      <c r="E175" s="13">
        <f t="shared" si="163"/>
        <v>463.01120218749872</v>
      </c>
      <c r="F175" s="13">
        <f t="shared" si="164"/>
        <v>97.070913201251656</v>
      </c>
      <c r="G175" s="13">
        <f t="shared" si="135"/>
        <v>15.332677585133824</v>
      </c>
      <c r="H175" s="4">
        <v>5.7173451803129796</v>
      </c>
      <c r="I175" s="9">
        <f t="shared" si="277"/>
        <v>521609.12499999889</v>
      </c>
      <c r="J175" s="13">
        <f t="shared" si="161"/>
        <v>409.46316312499914</v>
      </c>
      <c r="K175" s="13">
        <f t="shared" si="162"/>
        <v>96.574783457207232</v>
      </c>
      <c r="L175" s="13">
        <f t="shared" si="136"/>
        <v>14.798910970172416</v>
      </c>
      <c r="M175" s="3">
        <v>-608</v>
      </c>
      <c r="N175" s="3">
        <v>-472</v>
      </c>
      <c r="O175" s="3">
        <f t="shared" si="181"/>
        <v>136</v>
      </c>
      <c r="P175" s="13">
        <v>3.5999999999999997E-2</v>
      </c>
      <c r="Q175" s="13">
        <f t="shared" si="175"/>
        <v>45.859872611464965</v>
      </c>
      <c r="R175" s="13">
        <f t="shared" si="176"/>
        <v>92.405067617366541</v>
      </c>
      <c r="S175" s="13">
        <f t="shared" si="170"/>
        <v>11.194760882896603</v>
      </c>
      <c r="T175" s="43">
        <v>185</v>
      </c>
      <c r="U175" s="43">
        <v>131</v>
      </c>
      <c r="V175" s="4">
        <v>135900</v>
      </c>
      <c r="W175" s="4">
        <v>228700</v>
      </c>
      <c r="X175" s="4">
        <v>416900</v>
      </c>
      <c r="Y175" s="4">
        <v>516096</v>
      </c>
      <c r="Z175" s="4">
        <v>601324</v>
      </c>
      <c r="AA175" s="4">
        <v>621346</v>
      </c>
      <c r="AB175" s="4">
        <v>587480</v>
      </c>
      <c r="AC175" s="4">
        <v>351500</v>
      </c>
      <c r="AD175" s="13">
        <f t="shared" si="142"/>
        <v>9.7080442062604781</v>
      </c>
      <c r="AE175" s="13">
        <f t="shared" si="143"/>
        <v>11.617099514532118</v>
      </c>
      <c r="AF175" s="13">
        <f t="shared" si="144"/>
        <v>14.089113538682481</v>
      </c>
      <c r="AG175" s="13">
        <f t="shared" si="145"/>
        <v>14.973308919914475</v>
      </c>
      <c r="AH175" s="13">
        <f t="shared" si="146"/>
        <v>15.960285911553189</v>
      </c>
      <c r="AI175" s="13">
        <f t="shared" si="147"/>
        <v>16.872106328442722</v>
      </c>
      <c r="AJ175" s="13">
        <f t="shared" si="148"/>
        <v>16.311960431409297</v>
      </c>
      <c r="AK175" s="15">
        <f t="shared" si="221"/>
        <v>275.92750000000001</v>
      </c>
      <c r="AL175" s="13">
        <f t="shared" si="128"/>
        <v>95.914935988620201</v>
      </c>
      <c r="AM175" s="13">
        <f t="shared" si="149"/>
        <v>13.888011338509736</v>
      </c>
      <c r="AN175" s="17">
        <f t="shared" si="222"/>
        <v>414.34936291666668</v>
      </c>
      <c r="AO175" s="13">
        <f t="shared" si="129"/>
        <v>97.35368242808056</v>
      </c>
      <c r="AP175" s="13">
        <f t="shared" si="223"/>
        <v>15.773580394167171</v>
      </c>
      <c r="AQ175" s="10" t="s">
        <v>238</v>
      </c>
      <c r="AR175" s="10" t="s">
        <v>236</v>
      </c>
      <c r="AS175">
        <v>164.29</v>
      </c>
    </row>
    <row r="176" spans="1:45" ht="14">
      <c r="A176" s="7" t="s">
        <v>139</v>
      </c>
      <c r="B176" s="7" t="s">
        <v>78</v>
      </c>
      <c r="C176" s="4">
        <v>5.5897141783880198</v>
      </c>
      <c r="D176" s="4">
        <f t="shared" si="276"/>
        <v>388789.18749999267</v>
      </c>
      <c r="E176" s="13">
        <f t="shared" si="163"/>
        <v>305.19951218749424</v>
      </c>
      <c r="F176" s="13">
        <f t="shared" si="164"/>
        <v>95.556349385097178</v>
      </c>
      <c r="G176" s="13">
        <f t="shared" si="135"/>
        <v>13.52260095092282</v>
      </c>
      <c r="H176" s="4">
        <v>5.5701782114394902</v>
      </c>
      <c r="I176" s="9">
        <f t="shared" si="277"/>
        <v>371687.71874999924</v>
      </c>
      <c r="J176" s="13">
        <f t="shared" si="161"/>
        <v>291.77485921874938</v>
      </c>
      <c r="K176" s="13">
        <f t="shared" si="162"/>
        <v>95.193211629832305</v>
      </c>
      <c r="L176" s="13">
        <f t="shared" si="136"/>
        <v>13.327241281437527</v>
      </c>
      <c r="M176" s="3">
        <v>-650</v>
      </c>
      <c r="N176" s="3">
        <v>-495</v>
      </c>
      <c r="O176" s="3">
        <f t="shared" si="181"/>
        <v>155</v>
      </c>
      <c r="P176" s="13">
        <v>2.9000000000000001E-2</v>
      </c>
      <c r="Q176" s="13">
        <f t="shared" si="175"/>
        <v>36.942675159235669</v>
      </c>
      <c r="R176" s="13">
        <f t="shared" si="176"/>
        <v>93.881860025100821</v>
      </c>
      <c r="S176" s="13">
        <f t="shared" si="170"/>
        <v>12.133805911579911</v>
      </c>
      <c r="T176" s="43">
        <v>171</v>
      </c>
      <c r="U176" s="43">
        <v>107</v>
      </c>
      <c r="V176" s="4">
        <v>109900</v>
      </c>
      <c r="W176" s="4">
        <v>139200</v>
      </c>
      <c r="X176" s="4">
        <v>214700</v>
      </c>
      <c r="Y176" s="4">
        <v>260100</v>
      </c>
      <c r="Z176" s="4">
        <v>283300</v>
      </c>
      <c r="AA176" s="4">
        <v>272800</v>
      </c>
      <c r="AB176" s="4">
        <v>280500</v>
      </c>
      <c r="AC176" s="4">
        <v>316500</v>
      </c>
      <c r="AD176" s="13">
        <f t="shared" si="142"/>
        <v>8.7858265631704402</v>
      </c>
      <c r="AE176" s="13">
        <f t="shared" si="143"/>
        <v>9.4608302212100686</v>
      </c>
      <c r="AF176" s="13">
        <f t="shared" si="144"/>
        <v>11.207115031781994</v>
      </c>
      <c r="AG176" s="13">
        <f t="shared" si="145"/>
        <v>11.997407511019828</v>
      </c>
      <c r="AH176" s="13">
        <f t="shared" si="146"/>
        <v>12.69166627954387</v>
      </c>
      <c r="AI176" s="13">
        <f t="shared" si="147"/>
        <v>13.297214919777872</v>
      </c>
      <c r="AJ176" s="13">
        <f t="shared" si="148"/>
        <v>13.101358225339936</v>
      </c>
      <c r="AK176" s="15">
        <f t="shared" si="221"/>
        <v>248.45249999999999</v>
      </c>
      <c r="AL176" s="13">
        <f t="shared" si="128"/>
        <v>95.46319115323854</v>
      </c>
      <c r="AM176" s="13">
        <f t="shared" si="149"/>
        <v>13.432495188485046</v>
      </c>
      <c r="AN176" s="17">
        <f t="shared" si="222"/>
        <v>209.69067187499999</v>
      </c>
      <c r="AO176" s="13">
        <f t="shared" si="129"/>
        <v>94.770868965245896</v>
      </c>
      <c r="AP176" s="13">
        <f t="shared" si="223"/>
        <v>12.815704752180359</v>
      </c>
      <c r="AQ176" s="10" t="s">
        <v>238</v>
      </c>
      <c r="AR176" s="10" t="s">
        <v>236</v>
      </c>
      <c r="AS176">
        <v>164.29</v>
      </c>
    </row>
    <row r="177" spans="1:45" ht="13" customHeight="1">
      <c r="A177" s="7" t="s">
        <v>140</v>
      </c>
      <c r="B177" s="7" t="s">
        <v>79</v>
      </c>
      <c r="C177" s="4">
        <v>4.2877837155699696</v>
      </c>
      <c r="D177" s="4">
        <f t="shared" ref="D177:D178" si="278">POWER(10,C177)</f>
        <v>19399.195312499905</v>
      </c>
      <c r="E177" s="13">
        <f t="shared" si="163"/>
        <v>15.228368320312425</v>
      </c>
      <c r="F177" s="13">
        <f t="shared" si="164"/>
        <v>10.942527034165128</v>
      </c>
      <c r="G177" s="13">
        <f t="shared" si="135"/>
        <v>0.50329632274232017</v>
      </c>
      <c r="H177" s="4">
        <v>4.3058213376098298</v>
      </c>
      <c r="I177" s="9">
        <f t="shared" ref="I177:I178" si="279">POWER(10,H177)</f>
        <v>20221.871093749818</v>
      </c>
      <c r="J177" s="13">
        <f t="shared" si="161"/>
        <v>15.874168808593607</v>
      </c>
      <c r="K177" s="13">
        <f t="shared" si="162"/>
        <v>11.6489173757088</v>
      </c>
      <c r="L177" s="13">
        <f t="shared" si="136"/>
        <v>0.68367254314092274</v>
      </c>
      <c r="M177" s="3">
        <v>-511</v>
      </c>
      <c r="N177" s="3">
        <v>-481</v>
      </c>
      <c r="O177" s="3">
        <f t="shared" si="181"/>
        <v>30</v>
      </c>
      <c r="P177" s="13">
        <v>0.98099999999999998</v>
      </c>
      <c r="Q177" s="13">
        <f t="shared" si="175"/>
        <v>1249.6815286624203</v>
      </c>
      <c r="R177" s="13">
        <f t="shared" si="176"/>
        <v>-106.9619074267616</v>
      </c>
      <c r="S177" s="13">
        <f t="shared" si="170"/>
        <v>-3.1589041832300118</v>
      </c>
      <c r="T177" s="43">
        <v>42</v>
      </c>
      <c r="U177" s="43">
        <v>168</v>
      </c>
      <c r="V177" s="4">
        <v>80539</v>
      </c>
      <c r="W177" s="4">
        <v>46474</v>
      </c>
      <c r="X177" s="4">
        <v>28867</v>
      </c>
      <c r="Y177" s="4">
        <v>14355</v>
      </c>
      <c r="Z177" s="4">
        <v>8520</v>
      </c>
      <c r="AA177" s="4">
        <v>10736</v>
      </c>
      <c r="AB177" s="4">
        <v>17316</v>
      </c>
      <c r="AC177" s="4">
        <v>16605</v>
      </c>
      <c r="AD177" s="13">
        <f t="shared" si="142"/>
        <v>7.4359119684837722</v>
      </c>
      <c r="AE177" s="13">
        <f t="shared" si="143"/>
        <v>4.6965384049955903</v>
      </c>
      <c r="AF177" s="13">
        <f t="shared" si="144"/>
        <v>2.4928111095850842</v>
      </c>
      <c r="AG177" s="13">
        <f t="shared" si="145"/>
        <v>-0.58396404261364998</v>
      </c>
      <c r="AH177" s="13">
        <f t="shared" si="146"/>
        <v>-2.5264035179935003</v>
      </c>
      <c r="AI177" s="13">
        <f t="shared" si="147"/>
        <v>-0.7528037118173736</v>
      </c>
      <c r="AJ177" s="13">
        <f t="shared" si="148"/>
        <v>1.0065053408293252</v>
      </c>
      <c r="AK177" s="15">
        <f t="shared" si="221"/>
        <v>13.034925000000001</v>
      </c>
      <c r="AL177" s="13">
        <f t="shared" si="128"/>
        <v>13.526046371574829</v>
      </c>
      <c r="AM177" s="13">
        <f t="shared" si="149"/>
        <v>0.6311468442953474</v>
      </c>
      <c r="AN177" s="17">
        <f t="shared" si="222"/>
        <v>12.070495260416667</v>
      </c>
      <c r="AO177" s="13">
        <f t="shared" si="129"/>
        <v>9.1586570108847845</v>
      </c>
      <c r="AP177" s="13">
        <f t="shared" si="223"/>
        <v>0.41716453839680268</v>
      </c>
      <c r="AQ177" s="10" t="s">
        <v>241</v>
      </c>
      <c r="AR177" s="10" t="s">
        <v>236</v>
      </c>
      <c r="AS177">
        <v>106.14</v>
      </c>
    </row>
    <row r="178" spans="1:45" ht="14">
      <c r="A178" s="7" t="s">
        <v>140</v>
      </c>
      <c r="B178" s="7" t="s">
        <v>79</v>
      </c>
      <c r="C178" s="4">
        <v>4.3105094830577704</v>
      </c>
      <c r="D178" s="4">
        <f t="shared" si="278"/>
        <v>20441.345703124945</v>
      </c>
      <c r="E178" s="13">
        <f t="shared" si="163"/>
        <v>16.046456376953085</v>
      </c>
      <c r="F178" s="13">
        <f t="shared" si="164"/>
        <v>15.482897398589612</v>
      </c>
      <c r="G178" s="13">
        <f t="shared" si="135"/>
        <v>0.73055399762032636</v>
      </c>
      <c r="H178" s="4">
        <v>4.2492974099655898</v>
      </c>
      <c r="I178" s="9">
        <f t="shared" si="279"/>
        <v>17754.048828124789</v>
      </c>
      <c r="J178" s="13">
        <f t="shared" si="161"/>
        <v>13.936928330077961</v>
      </c>
      <c r="K178" s="13">
        <f t="shared" si="162"/>
        <v>-0.63193027786450084</v>
      </c>
      <c r="L178" s="13">
        <f t="shared" si="136"/>
        <v>0.11843326669851857</v>
      </c>
      <c r="M178" s="3">
        <v>-543</v>
      </c>
      <c r="N178" s="3">
        <v>-498</v>
      </c>
      <c r="O178" s="3">
        <f t="shared" si="181"/>
        <v>45</v>
      </c>
      <c r="P178" s="13">
        <v>0.92300000000000004</v>
      </c>
      <c r="Q178" s="13">
        <f t="shared" si="175"/>
        <v>1175.7961783439489</v>
      </c>
      <c r="R178" s="13">
        <f t="shared" si="176"/>
        <v>-94.725627476963226</v>
      </c>
      <c r="S178" s="13">
        <f t="shared" si="170"/>
        <v>-2.8942311196896471</v>
      </c>
      <c r="T178" s="43">
        <v>54</v>
      </c>
      <c r="U178" s="43">
        <v>154</v>
      </c>
      <c r="V178" s="4">
        <v>103954</v>
      </c>
      <c r="W178" s="4">
        <v>56388</v>
      </c>
      <c r="X178" s="4">
        <v>22140</v>
      </c>
      <c r="Y178" s="4">
        <v>13598</v>
      </c>
      <c r="Z178" s="4">
        <v>10646</v>
      </c>
      <c r="AA178" s="4">
        <v>11101</v>
      </c>
      <c r="AB178" s="4">
        <v>23933</v>
      </c>
      <c r="AC178" s="4">
        <v>16189</v>
      </c>
      <c r="AD178" s="13">
        <f t="shared" si="142"/>
        <v>8.5442616890789207</v>
      </c>
      <c r="AE178" s="13">
        <f t="shared" si="143"/>
        <v>5.5363047791704023</v>
      </c>
      <c r="AF178" s="13">
        <f t="shared" si="144"/>
        <v>1.3405707528465463</v>
      </c>
      <c r="AG178" s="13">
        <f t="shared" si="145"/>
        <v>-0.81924564255797627</v>
      </c>
      <c r="AH178" s="13">
        <f t="shared" si="146"/>
        <v>-1.558934847293141</v>
      </c>
      <c r="AI178" s="13">
        <f t="shared" si="147"/>
        <v>-0.60760771353306364</v>
      </c>
      <c r="AJ178" s="13">
        <f t="shared" si="148"/>
        <v>2.4120009775266498</v>
      </c>
      <c r="AK178" s="15">
        <f t="shared" si="221"/>
        <v>12.708365000000001</v>
      </c>
      <c r="AL178" s="13">
        <f t="shared" ref="AL178:AL220" si="280">(1-11.271815/AK178)*100</f>
        <v>11.303971832725923</v>
      </c>
      <c r="AM178" s="13">
        <f t="shared" si="149"/>
        <v>0.52095827560123587</v>
      </c>
      <c r="AN178" s="17">
        <f t="shared" si="222"/>
        <v>13.877933229166667</v>
      </c>
      <c r="AO178" s="13">
        <f t="shared" ref="AO178:AO220" si="281">(1-10.965/AN178)*100</f>
        <v>20.989676063901776</v>
      </c>
      <c r="AP178" s="13">
        <f t="shared" si="223"/>
        <v>1.02316157626798</v>
      </c>
      <c r="AQ178" s="10" t="s">
        <v>241</v>
      </c>
      <c r="AR178" s="10" t="s">
        <v>236</v>
      </c>
      <c r="AS178">
        <v>106.14</v>
      </c>
    </row>
    <row r="179" spans="1:45" ht="14">
      <c r="A179" s="7" t="s">
        <v>140</v>
      </c>
      <c r="B179" s="7" t="s">
        <v>79</v>
      </c>
      <c r="C179" s="4">
        <v>4.4098515786623098</v>
      </c>
      <c r="D179" s="4">
        <f t="shared" ref="D179" si="282">POWER(10,C179)</f>
        <v>25695.17493004242</v>
      </c>
      <c r="E179" s="13">
        <f t="shared" ref="E179" si="283">D179*0.785/1000</f>
        <v>20.1707123200833</v>
      </c>
      <c r="F179" s="13">
        <f t="shared" ref="F179" si="284">(1-13.562/E179)*100</f>
        <v>32.763901518258379</v>
      </c>
      <c r="G179" s="13">
        <f t="shared" ref="G179" si="285">10*LOG10(E179/13.562)</f>
        <v>1.7239749536657201</v>
      </c>
      <c r="H179" s="4">
        <v>4.16120076340564</v>
      </c>
      <c r="I179" s="9">
        <f t="shared" ref="I179" si="286">POWER(10,H179)</f>
        <v>14494.417391235818</v>
      </c>
      <c r="J179" s="13">
        <f t="shared" ref="J179" si="287">I179*0.785/1000</f>
        <v>11.378117652120117</v>
      </c>
      <c r="K179" s="13">
        <f t="shared" ref="K179" si="288">(1-14.025/J179)*100</f>
        <v>-23.26291948112069</v>
      </c>
      <c r="L179" s="13">
        <f t="shared" ref="L179" si="289">10*LOG10(J179/13.562)</f>
        <v>-0.7625331989009756</v>
      </c>
      <c r="M179" s="3">
        <v>-522</v>
      </c>
      <c r="N179" s="3">
        <v>-492</v>
      </c>
      <c r="O179" s="3">
        <f t="shared" ref="O179" si="290">N179-M179</f>
        <v>30</v>
      </c>
      <c r="P179" s="13">
        <v>1.123</v>
      </c>
      <c r="Q179" s="13">
        <f t="shared" ref="Q179" si="291">1000*P179/(0.785)</f>
        <v>1430.5732484076432</v>
      </c>
      <c r="R179" s="13">
        <f t="shared" ref="R179" si="292">(1-Q179/603.822)*100</f>
        <v>-136.91969626937129</v>
      </c>
      <c r="S179" s="13">
        <f t="shared" ref="S179" si="293">10*LOG10(603.822/Q179)</f>
        <v>-3.7460116720451042</v>
      </c>
      <c r="T179" s="43">
        <v>54</v>
      </c>
      <c r="U179" s="43">
        <v>154</v>
      </c>
      <c r="V179" s="4">
        <v>72296</v>
      </c>
      <c r="W179" s="4">
        <v>45422</v>
      </c>
      <c r="X179" s="4">
        <v>27592</v>
      </c>
      <c r="Y179" s="4">
        <v>17893</v>
      </c>
      <c r="Z179" s="4">
        <v>11945</v>
      </c>
      <c r="AA179" s="4">
        <v>10921</v>
      </c>
      <c r="AB179" s="4">
        <v>20693</v>
      </c>
      <c r="AC179" s="4">
        <v>16903</v>
      </c>
      <c r="AD179" s="13">
        <f t="shared" ref="AD179" si="294">10*LOG10(V179/14535)</f>
        <v>6.966992331661741</v>
      </c>
      <c r="AE179" s="13">
        <f t="shared" ref="AE179" si="295">10*LOG10(W179/15760)</f>
        <v>4.5971003980021239</v>
      </c>
      <c r="AF179" s="13">
        <f t="shared" ref="AF179" si="296">10*LOG10(X179/16260)</f>
        <v>2.2966264010128499</v>
      </c>
      <c r="AG179" s="13">
        <f t="shared" ref="AG179" si="297">10*LOG10(Y179/16421)</f>
        <v>0.37283560838307928</v>
      </c>
      <c r="AH179" s="13">
        <f t="shared" ref="AH179" si="298">10*LOG10(Z179/15243.33333)</f>
        <v>-1.0589379248015349</v>
      </c>
      <c r="AI179" s="13">
        <f t="shared" ref="AI179" si="299">10*LOG10(AA179/12768)</f>
        <v>-0.67860466901869976</v>
      </c>
      <c r="AJ179" s="13">
        <f t="shared" ref="AJ179" si="300">10*LOG10(AB179/13734)</f>
        <v>1.7802641469296923</v>
      </c>
      <c r="AK179" s="15">
        <f t="shared" ref="AK179" si="301">AC179*0.785/1000</f>
        <v>13.268855000000002</v>
      </c>
      <c r="AL179" s="13">
        <f t="shared" ref="AL179" si="302">(1-11.271815/AK179)*100</f>
        <v>15.050582736792295</v>
      </c>
      <c r="AM179" s="13">
        <f t="shared" ref="AM179" si="303">10*LOG10(AK179/11.271815)</f>
        <v>0.70839595961990687</v>
      </c>
      <c r="AN179" s="17">
        <f t="shared" ref="AN179" si="304">(0.785/24000)*(AVERAGE(V179:W179)*0.5+AVERAGE(W179:X179)*1+AVERAGE(X179:Y179)*1+AVERAGE(Y179:Z179)*3+AVERAGE(Z179:AA179)*6+AVERAGE(AA179:AB179)*6+AVERAGE(AB179:AC179)*6)</f>
        <v>13.399426666666667</v>
      </c>
      <c r="AO179" s="13">
        <f t="shared" ref="AO179" si="305">(1-10.965/AN179)*100</f>
        <v>18.168140527405651</v>
      </c>
      <c r="AP179" s="13">
        <f t="shared" ref="AP179" si="306">10*LOG10(AN179/10.965)</f>
        <v>0.8707758019978239</v>
      </c>
      <c r="AQ179" s="10" t="s">
        <v>241</v>
      </c>
      <c r="AR179" s="10" t="s">
        <v>236</v>
      </c>
      <c r="AS179">
        <v>106.14</v>
      </c>
    </row>
    <row r="180" spans="1:45" ht="13" customHeight="1">
      <c r="A180" s="7" t="s">
        <v>141</v>
      </c>
      <c r="B180" s="7" t="s">
        <v>80</v>
      </c>
      <c r="C180" s="4">
        <v>4.2965316375416798</v>
      </c>
      <c r="D180" s="4">
        <f t="shared" ref="D180:D182" si="307">POWER(10,C180)</f>
        <v>19793.9121093746</v>
      </c>
      <c r="E180" s="13">
        <f t="shared" si="163"/>
        <v>15.538221005859061</v>
      </c>
      <c r="F180" s="13">
        <f t="shared" si="164"/>
        <v>12.718450877445232</v>
      </c>
      <c r="G180" s="13">
        <f t="shared" si="135"/>
        <v>0.59077554245941744</v>
      </c>
      <c r="H180" s="4">
        <v>4.4312274916842798</v>
      </c>
      <c r="I180" s="9">
        <f t="shared" ref="I180:I182" si="308">POWER(10,H180)</f>
        <v>26991.52929687492</v>
      </c>
      <c r="J180" s="13">
        <f t="shared" si="161"/>
        <v>21.188350498046812</v>
      </c>
      <c r="K180" s="13">
        <f t="shared" si="162"/>
        <v>33.807966782063318</v>
      </c>
      <c r="L180" s="13">
        <f t="shared" si="136"/>
        <v>1.9377340838854225</v>
      </c>
      <c r="M180" s="3">
        <v>-597</v>
      </c>
      <c r="N180" s="3">
        <v>-513</v>
      </c>
      <c r="O180" s="3">
        <f t="shared" si="181"/>
        <v>84</v>
      </c>
      <c r="P180" s="13">
        <v>0.432</v>
      </c>
      <c r="Q180" s="13">
        <f t="shared" si="175"/>
        <v>550.31847133757958</v>
      </c>
      <c r="R180" s="13">
        <f t="shared" si="176"/>
        <v>8.8608114083985718</v>
      </c>
      <c r="S180" s="13">
        <f t="shared" si="170"/>
        <v>0.40294842242035273</v>
      </c>
      <c r="T180" s="43">
        <v>180</v>
      </c>
      <c r="U180" s="43">
        <v>147</v>
      </c>
      <c r="V180" s="4">
        <v>9366</v>
      </c>
      <c r="W180" s="4">
        <v>13557</v>
      </c>
      <c r="X180" s="4">
        <v>21593</v>
      </c>
      <c r="Y180" s="4">
        <v>29548</v>
      </c>
      <c r="Z180" s="4">
        <v>19358</v>
      </c>
      <c r="AA180" s="4">
        <v>15493</v>
      </c>
      <c r="AB180" s="4">
        <v>16812</v>
      </c>
      <c r="AC180" s="4">
        <v>13948</v>
      </c>
      <c r="AD180" s="13">
        <f t="shared" si="142"/>
        <v>-1.9086088266038546</v>
      </c>
      <c r="AE180" s="13">
        <f t="shared" si="143"/>
        <v>-0.6539261710267229</v>
      </c>
      <c r="AF180" s="13">
        <f t="shared" si="144"/>
        <v>1.231924435001819</v>
      </c>
      <c r="AG180" s="13">
        <f t="shared" si="145"/>
        <v>2.551284892550592</v>
      </c>
      <c r="AH180" s="13">
        <f t="shared" si="146"/>
        <v>1.0378053895632318</v>
      </c>
      <c r="AI180" s="13">
        <f t="shared" si="147"/>
        <v>0.84012646870376506</v>
      </c>
      <c r="AJ180" s="13">
        <f t="shared" si="148"/>
        <v>0.87822338275212919</v>
      </c>
      <c r="AK180" s="15">
        <f t="shared" si="221"/>
        <v>10.94918</v>
      </c>
      <c r="AL180" s="13">
        <f t="shared" si="280"/>
        <v>-2.9466590192142261</v>
      </c>
      <c r="AM180" s="13">
        <f t="shared" si="149"/>
        <v>-0.12612256800930391</v>
      </c>
      <c r="AN180" s="17">
        <f t="shared" si="222"/>
        <v>13.606118802083333</v>
      </c>
      <c r="AO180" s="13">
        <f t="shared" si="281"/>
        <v>19.411257835547723</v>
      </c>
      <c r="AP180" s="13">
        <f t="shared" si="223"/>
        <v>0.93725622678034526</v>
      </c>
      <c r="AQ180" s="10" t="s">
        <v>239</v>
      </c>
      <c r="AR180" s="10" t="s">
        <v>236</v>
      </c>
      <c r="AS180">
        <v>278.35000000000002</v>
      </c>
    </row>
    <row r="181" spans="1:45" ht="14">
      <c r="A181" s="7" t="s">
        <v>141</v>
      </c>
      <c r="B181" s="7" t="s">
        <v>80</v>
      </c>
      <c r="C181" s="4">
        <v>4.1669916244963803</v>
      </c>
      <c r="D181" s="4">
        <f t="shared" si="307"/>
        <v>14688.9794921872</v>
      </c>
      <c r="E181" s="13">
        <f t="shared" si="163"/>
        <v>11.530848901366953</v>
      </c>
      <c r="F181" s="13">
        <f t="shared" si="164"/>
        <v>-17.614931181625828</v>
      </c>
      <c r="G181" s="13">
        <f t="shared" si="135"/>
        <v>-0.70462458799357597</v>
      </c>
      <c r="H181" s="4">
        <v>4.39628014298947</v>
      </c>
      <c r="I181" s="9">
        <f t="shared" si="308"/>
        <v>24904.632812499658</v>
      </c>
      <c r="J181" s="13">
        <f t="shared" si="161"/>
        <v>19.550136757812233</v>
      </c>
      <c r="K181" s="13">
        <f t="shared" si="162"/>
        <v>28.261371397335054</v>
      </c>
      <c r="L181" s="13">
        <f t="shared" si="136"/>
        <v>1.5882605969373242</v>
      </c>
      <c r="M181" s="3">
        <v>-600</v>
      </c>
      <c r="N181" s="3">
        <v>-528</v>
      </c>
      <c r="O181" s="3">
        <f t="shared" si="181"/>
        <v>72</v>
      </c>
      <c r="P181" s="13">
        <v>0.46500000000000002</v>
      </c>
      <c r="Q181" s="13">
        <f t="shared" si="175"/>
        <v>592.35668789808915</v>
      </c>
      <c r="R181" s="13">
        <f t="shared" si="176"/>
        <v>1.898790057651234</v>
      </c>
      <c r="S181" s="13">
        <f t="shared" si="170"/>
        <v>8.3256361669933832E-2</v>
      </c>
      <c r="T181" s="43">
        <v>50</v>
      </c>
      <c r="U181" s="43">
        <v>156</v>
      </c>
      <c r="V181" s="4">
        <v>12647</v>
      </c>
      <c r="W181" s="4">
        <v>28080</v>
      </c>
      <c r="X181" s="4">
        <v>23580</v>
      </c>
      <c r="Y181" s="4">
        <v>19754</v>
      </c>
      <c r="Z181" s="4">
        <v>20698</v>
      </c>
      <c r="AA181" s="4">
        <v>12880</v>
      </c>
      <c r="AB181" s="4">
        <v>13285</v>
      </c>
      <c r="AC181" s="4">
        <v>13253</v>
      </c>
      <c r="AD181" s="13">
        <f t="shared" si="142"/>
        <v>-0.60427517548147247</v>
      </c>
      <c r="AE181" s="13">
        <f t="shared" si="143"/>
        <v>2.5084089030423113</v>
      </c>
      <c r="AF181" s="13">
        <f t="shared" si="144"/>
        <v>1.6142325950102094</v>
      </c>
      <c r="AG181" s="13">
        <f t="shared" si="145"/>
        <v>0.80255448338696023</v>
      </c>
      <c r="AH181" s="13">
        <f t="shared" si="146"/>
        <v>1.3284843604413668</v>
      </c>
      <c r="AI181" s="13">
        <f t="shared" si="147"/>
        <v>3.7929890171391013E-2</v>
      </c>
      <c r="AJ181" s="13">
        <f t="shared" si="148"/>
        <v>-0.14435484311890212</v>
      </c>
      <c r="AK181" s="15">
        <f t="shared" si="221"/>
        <v>10.403604999999999</v>
      </c>
      <c r="AL181" s="13">
        <f t="shared" si="280"/>
        <v>-8.3452803138912124</v>
      </c>
      <c r="AM181" s="13">
        <f t="shared" si="149"/>
        <v>-0.34809997536063086</v>
      </c>
      <c r="AN181" s="17">
        <f t="shared" si="222"/>
        <v>12.337575156250001</v>
      </c>
      <c r="AO181" s="13">
        <f t="shared" si="281"/>
        <v>11.125161458932864</v>
      </c>
      <c r="AP181" s="13">
        <f t="shared" si="223"/>
        <v>0.51221175244312733</v>
      </c>
      <c r="AQ181" s="10" t="s">
        <v>239</v>
      </c>
      <c r="AR181" s="10" t="s">
        <v>236</v>
      </c>
      <c r="AS181">
        <v>278.35000000000002</v>
      </c>
    </row>
    <row r="182" spans="1:45" ht="14">
      <c r="A182" s="7" t="s">
        <v>141</v>
      </c>
      <c r="B182" s="7" t="s">
        <v>80</v>
      </c>
      <c r="C182" s="4">
        <v>4.2466496877997804</v>
      </c>
      <c r="D182" s="4">
        <f t="shared" si="307"/>
        <v>17646.138671874854</v>
      </c>
      <c r="E182" s="13">
        <f t="shared" si="163"/>
        <v>13.852218857421761</v>
      </c>
      <c r="F182" s="13">
        <f t="shared" si="164"/>
        <v>2.0951073644513429</v>
      </c>
      <c r="G182" s="13">
        <f t="shared" si="135"/>
        <v>9.1956045040424136E-2</v>
      </c>
      <c r="H182" s="4">
        <v>4.3979519516060703</v>
      </c>
      <c r="I182" s="9">
        <f t="shared" si="308"/>
        <v>25000.687499999756</v>
      </c>
      <c r="J182" s="13">
        <f t="shared" si="161"/>
        <v>19.625539687499806</v>
      </c>
      <c r="K182" s="13">
        <f t="shared" si="162"/>
        <v>28.536997079713355</v>
      </c>
      <c r="L182" s="13">
        <f t="shared" si="136"/>
        <v>1.6049786831033286</v>
      </c>
      <c r="M182" s="3">
        <v>-611</v>
      </c>
      <c r="N182" s="3">
        <v>-524</v>
      </c>
      <c r="O182" s="3">
        <f t="shared" si="181"/>
        <v>87</v>
      </c>
      <c r="P182" s="13">
        <v>0.436</v>
      </c>
      <c r="Q182" s="13">
        <f t="shared" si="175"/>
        <v>555.41401273885344</v>
      </c>
      <c r="R182" s="13">
        <f t="shared" si="176"/>
        <v>8.0169300325504178</v>
      </c>
      <c r="S182" s="13">
        <f t="shared" si="170"/>
        <v>0.36292099788361343</v>
      </c>
      <c r="T182" s="43">
        <v>163</v>
      </c>
      <c r="U182" s="43">
        <v>145</v>
      </c>
      <c r="V182" s="4">
        <v>16380</v>
      </c>
      <c r="W182" s="4">
        <v>23330</v>
      </c>
      <c r="X182" s="4">
        <v>18890</v>
      </c>
      <c r="Y182" s="4">
        <v>19148</v>
      </c>
      <c r="Z182" s="4">
        <v>21597</v>
      </c>
      <c r="AA182" s="4">
        <v>18635</v>
      </c>
      <c r="AB182" s="4">
        <v>16323</v>
      </c>
      <c r="AC182" s="4">
        <v>14593</v>
      </c>
      <c r="AD182" s="13">
        <f t="shared" si="142"/>
        <v>0.5189886131795306</v>
      </c>
      <c r="AE182" s="13">
        <f t="shared" si="143"/>
        <v>1.7035852564021612</v>
      </c>
      <c r="AF182" s="13">
        <f t="shared" si="144"/>
        <v>0.65111416663784194</v>
      </c>
      <c r="AG182" s="13">
        <f t="shared" si="145"/>
        <v>0.6672381771602115</v>
      </c>
      <c r="AH182" s="13">
        <f t="shared" si="146"/>
        <v>1.5131348171765362</v>
      </c>
      <c r="AI182" s="13">
        <f t="shared" si="147"/>
        <v>1.6420652308320425</v>
      </c>
      <c r="AJ182" s="13">
        <f t="shared" si="148"/>
        <v>0.75002937567380434</v>
      </c>
      <c r="AK182" s="15">
        <f t="shared" si="221"/>
        <v>11.455505</v>
      </c>
      <c r="AL182" s="13">
        <f t="shared" si="280"/>
        <v>1.6035085314877073</v>
      </c>
      <c r="AM182" s="13">
        <f t="shared" si="149"/>
        <v>7.0203869653084353E-2</v>
      </c>
      <c r="AN182" s="17">
        <f t="shared" si="222"/>
        <v>14.0479675</v>
      </c>
      <c r="AO182" s="13">
        <f t="shared" si="281"/>
        <v>21.946003932597367</v>
      </c>
      <c r="AP182" s="13">
        <f t="shared" si="223"/>
        <v>1.0760485780852345</v>
      </c>
      <c r="AQ182" s="10" t="s">
        <v>239</v>
      </c>
      <c r="AR182" s="10" t="s">
        <v>236</v>
      </c>
      <c r="AS182">
        <v>278.35000000000002</v>
      </c>
    </row>
    <row r="183" spans="1:45" ht="13" customHeight="1">
      <c r="A183" s="7" t="s">
        <v>142</v>
      </c>
      <c r="B183" s="7" t="s">
        <v>81</v>
      </c>
      <c r="C183" s="4">
        <v>4.0924024070783398</v>
      </c>
      <c r="D183" s="4">
        <f t="shared" ref="D183:D185" si="309">POWER(10,C183)</f>
        <v>12370.931640624756</v>
      </c>
      <c r="E183" s="13">
        <f t="shared" si="163"/>
        <v>9.7111813378904337</v>
      </c>
      <c r="F183" s="13">
        <f t="shared" si="164"/>
        <v>-39.653452325977078</v>
      </c>
      <c r="G183" s="13">
        <f t="shared" si="135"/>
        <v>-1.4505167621739807</v>
      </c>
      <c r="H183" s="4">
        <v>4.2584560020642899</v>
      </c>
      <c r="I183" s="9">
        <f t="shared" ref="I183:I185" si="310">POWER(10,H183)</f>
        <v>18132.429687499698</v>
      </c>
      <c r="J183" s="13">
        <f t="shared" si="161"/>
        <v>14.233957304687262</v>
      </c>
      <c r="K183" s="13">
        <f t="shared" si="162"/>
        <v>1.4680197517415117</v>
      </c>
      <c r="L183" s="13">
        <f t="shared" si="136"/>
        <v>0.2100191876855193</v>
      </c>
      <c r="M183" s="3">
        <v>-516</v>
      </c>
      <c r="N183" s="3">
        <v>-498</v>
      </c>
      <c r="O183" s="3">
        <f t="shared" si="181"/>
        <v>18</v>
      </c>
      <c r="P183" s="13">
        <v>0.153</v>
      </c>
      <c r="Q183" s="13">
        <f t="shared" si="175"/>
        <v>194.90445859872611</v>
      </c>
      <c r="R183" s="13">
        <f t="shared" si="176"/>
        <v>67.721537373807834</v>
      </c>
      <c r="S183" s="13">
        <f t="shared" si="170"/>
        <v>4.9108715823934856</v>
      </c>
      <c r="T183" s="43">
        <v>19</v>
      </c>
      <c r="U183" s="43">
        <v>174</v>
      </c>
      <c r="V183" s="4">
        <v>30453</v>
      </c>
      <c r="W183" s="4">
        <v>35196</v>
      </c>
      <c r="X183" s="4">
        <v>26075</v>
      </c>
      <c r="Y183" s="4">
        <v>30062</v>
      </c>
      <c r="Z183" s="4">
        <v>16765</v>
      </c>
      <c r="AA183" s="4">
        <v>11328</v>
      </c>
      <c r="AB183" s="4">
        <v>7331</v>
      </c>
      <c r="AC183" s="4">
        <v>9476</v>
      </c>
      <c r="AD183" s="13">
        <f t="shared" si="142"/>
        <v>3.2121504638850586</v>
      </c>
      <c r="AE183" s="13">
        <f t="shared" si="143"/>
        <v>3.4893709587464046</v>
      </c>
      <c r="AF183" s="13">
        <f t="shared" si="144"/>
        <v>2.0510377584051911</v>
      </c>
      <c r="AG183" s="13">
        <f t="shared" si="145"/>
        <v>2.6261826937090218</v>
      </c>
      <c r="AH183" s="13">
        <f t="shared" si="146"/>
        <v>0.4132361119878864</v>
      </c>
      <c r="AI183" s="13">
        <f t="shared" si="147"/>
        <v>-0.51969633660960435</v>
      </c>
      <c r="AJ183" s="13">
        <f t="shared" si="148"/>
        <v>-2.7263382355210029</v>
      </c>
      <c r="AK183" s="15">
        <f t="shared" si="221"/>
        <v>7.4386599999999996</v>
      </c>
      <c r="AL183" s="13">
        <f t="shared" si="280"/>
        <v>-51.530181511186157</v>
      </c>
      <c r="AM183" s="13">
        <f t="shared" si="149"/>
        <v>-1.8049914345414186</v>
      </c>
      <c r="AN183" s="17">
        <f t="shared" si="222"/>
        <v>10.99110390625</v>
      </c>
      <c r="AO183" s="13">
        <f t="shared" si="281"/>
        <v>0.23750031364143664</v>
      </c>
      <c r="AP183" s="13">
        <f t="shared" si="223"/>
        <v>1.0326775488472387E-2</v>
      </c>
      <c r="AQ183" s="10" t="s">
        <v>237</v>
      </c>
      <c r="AR183" s="10" t="s">
        <v>235</v>
      </c>
      <c r="AS183">
        <v>132.16</v>
      </c>
    </row>
    <row r="184" spans="1:45" ht="14">
      <c r="A184" s="7" t="s">
        <v>142</v>
      </c>
      <c r="B184" s="7" t="s">
        <v>81</v>
      </c>
      <c r="C184" s="4">
        <v>4.1597048915224004</v>
      </c>
      <c r="D184" s="4">
        <f t="shared" si="309"/>
        <v>14444.579101562238</v>
      </c>
      <c r="E184" s="13">
        <f t="shared" si="163"/>
        <v>11.338994594726357</v>
      </c>
      <c r="F184" s="13">
        <f t="shared" si="164"/>
        <v>-19.604960446030528</v>
      </c>
      <c r="G184" s="13">
        <f t="shared" si="135"/>
        <v>-0.77749191773337489</v>
      </c>
      <c r="H184" s="4">
        <v>4.4924341201600004</v>
      </c>
      <c r="I184" s="9">
        <f t="shared" si="310"/>
        <v>31076.644531249975</v>
      </c>
      <c r="J184" s="13">
        <f t="shared" si="161"/>
        <v>24.395165957031228</v>
      </c>
      <c r="K184" s="13">
        <f t="shared" si="162"/>
        <v>42.509101906897726</v>
      </c>
      <c r="L184" s="13">
        <f t="shared" si="136"/>
        <v>2.5498003686426252</v>
      </c>
      <c r="M184" s="3">
        <v>-553</v>
      </c>
      <c r="N184" s="3">
        <v>-502</v>
      </c>
      <c r="O184" s="3">
        <f t="shared" si="181"/>
        <v>51</v>
      </c>
      <c r="P184" s="13">
        <v>0.36</v>
      </c>
      <c r="Q184" s="13">
        <f t="shared" si="175"/>
        <v>458.59872611464965</v>
      </c>
      <c r="R184" s="13">
        <f t="shared" si="176"/>
        <v>24.050676173665476</v>
      </c>
      <c r="S184" s="13">
        <f t="shared" si="170"/>
        <v>1.194760882896601</v>
      </c>
      <c r="T184" s="43">
        <v>34</v>
      </c>
      <c r="U184" s="43">
        <v>166</v>
      </c>
      <c r="V184" s="4">
        <v>15296</v>
      </c>
      <c r="W184" s="4">
        <v>21199</v>
      </c>
      <c r="X184" s="4">
        <v>23579</v>
      </c>
      <c r="Y184" s="4">
        <v>29436</v>
      </c>
      <c r="Z184" s="4">
        <v>15214</v>
      </c>
      <c r="AA184" s="4">
        <v>9240</v>
      </c>
      <c r="AB184" s="4">
        <v>7606</v>
      </c>
      <c r="AC184" s="4">
        <v>11263</v>
      </c>
      <c r="AD184" s="13">
        <f t="shared" si="142"/>
        <v>0.22162838825578332</v>
      </c>
      <c r="AE184" s="13">
        <f t="shared" si="143"/>
        <v>1.2875916170328006</v>
      </c>
      <c r="AF184" s="13">
        <f t="shared" si="144"/>
        <v>1.6140484119350944</v>
      </c>
      <c r="AG184" s="13">
        <f t="shared" si="145"/>
        <v>2.5347919316012075</v>
      </c>
      <c r="AH184" s="13">
        <f t="shared" si="146"/>
        <v>-8.3653464704978447E-3</v>
      </c>
      <c r="AI184" s="13">
        <f t="shared" si="147"/>
        <v>-1.4045090278654748</v>
      </c>
      <c r="AJ184" s="13">
        <f t="shared" si="148"/>
        <v>-2.5664072198262282</v>
      </c>
      <c r="AK184" s="15">
        <f t="shared" si="221"/>
        <v>8.8414549999999998</v>
      </c>
      <c r="AL184" s="13">
        <f t="shared" si="280"/>
        <v>-27.488235816389949</v>
      </c>
      <c r="AM184" s="13">
        <f t="shared" si="149"/>
        <v>-1.0547011139158293</v>
      </c>
      <c r="AN184" s="17">
        <f t="shared" si="222"/>
        <v>9.9924694270833339</v>
      </c>
      <c r="AO184" s="13">
        <f t="shared" si="281"/>
        <v>-9.7326349608910956</v>
      </c>
      <c r="AP184" s="13">
        <f t="shared" si="223"/>
        <v>-0.40335807844903404</v>
      </c>
      <c r="AQ184" s="10" t="s">
        <v>237</v>
      </c>
      <c r="AR184" s="10" t="s">
        <v>235</v>
      </c>
      <c r="AS184">
        <v>132.16</v>
      </c>
    </row>
    <row r="185" spans="1:45" ht="14">
      <c r="A185" s="7" t="s">
        <v>142</v>
      </c>
      <c r="B185" s="7" t="s">
        <v>81</v>
      </c>
      <c r="C185" s="4">
        <v>4.1164484768502403</v>
      </c>
      <c r="D185" s="4">
        <f t="shared" si="309"/>
        <v>13075.20410156224</v>
      </c>
      <c r="E185" s="13">
        <f t="shared" si="163"/>
        <v>10.264035219726358</v>
      </c>
      <c r="F185" s="13">
        <f t="shared" si="164"/>
        <v>-32.131269132195818</v>
      </c>
      <c r="G185" s="13">
        <f t="shared" si="135"/>
        <v>-1.2100560644549743</v>
      </c>
      <c r="H185" s="4">
        <v>4.13358736712288</v>
      </c>
      <c r="I185" s="9">
        <f t="shared" si="310"/>
        <v>13601.517578124905</v>
      </c>
      <c r="J185" s="13">
        <f t="shared" si="161"/>
        <v>10.677191298828051</v>
      </c>
      <c r="K185" s="13">
        <f t="shared" si="162"/>
        <v>-31.354769315966191</v>
      </c>
      <c r="L185" s="13">
        <f t="shared" si="136"/>
        <v>-1.0386671617285776</v>
      </c>
      <c r="M185" s="3">
        <v>-498</v>
      </c>
      <c r="N185" s="3">
        <v>-491</v>
      </c>
      <c r="O185" s="3">
        <f t="shared" si="181"/>
        <v>7</v>
      </c>
      <c r="P185" s="13">
        <v>0.20599999999999999</v>
      </c>
      <c r="Q185" s="13">
        <f t="shared" si="175"/>
        <v>262.42038216560508</v>
      </c>
      <c r="R185" s="13">
        <f t="shared" si="176"/>
        <v>56.540109143819684</v>
      </c>
      <c r="S185" s="13">
        <f t="shared" si="170"/>
        <v>3.6191136868779394</v>
      </c>
      <c r="T185" s="43">
        <v>30</v>
      </c>
      <c r="U185" s="43">
        <v>302</v>
      </c>
      <c r="V185" s="4">
        <v>14369</v>
      </c>
      <c r="W185" s="4">
        <v>17301</v>
      </c>
      <c r="X185" s="4">
        <v>17159</v>
      </c>
      <c r="Y185" s="4">
        <v>14247</v>
      </c>
      <c r="Z185" s="4">
        <v>15612</v>
      </c>
      <c r="AA185" s="4">
        <v>8644</v>
      </c>
      <c r="AB185" s="4">
        <v>7734</v>
      </c>
      <c r="AC185" s="4">
        <v>9034</v>
      </c>
      <c r="AD185" s="13">
        <f t="shared" si="142"/>
        <v>-4.9884913259965386E-2</v>
      </c>
      <c r="AE185" s="13">
        <f t="shared" si="143"/>
        <v>0.40514992977023268</v>
      </c>
      <c r="AF185" s="13">
        <f t="shared" si="144"/>
        <v>0.23371432980938997</v>
      </c>
      <c r="AG185" s="13">
        <f t="shared" si="145"/>
        <v>-0.61676176792209059</v>
      </c>
      <c r="AH185" s="13">
        <f t="shared" si="146"/>
        <v>0.10378596043160897</v>
      </c>
      <c r="AI185" s="13">
        <f t="shared" si="147"/>
        <v>-1.6940811579545052</v>
      </c>
      <c r="AJ185" s="13">
        <f t="shared" si="148"/>
        <v>-2.493928753211399</v>
      </c>
      <c r="AK185" s="15">
        <f t="shared" si="221"/>
        <v>7.0916900000000007</v>
      </c>
      <c r="AL185" s="13">
        <f t="shared" si="280"/>
        <v>-58.943989373477955</v>
      </c>
      <c r="AM185" s="13">
        <f t="shared" si="149"/>
        <v>-2.0124410927949392</v>
      </c>
      <c r="AN185" s="17">
        <f t="shared" si="222"/>
        <v>8.4336802083333335</v>
      </c>
      <c r="AO185" s="13">
        <f t="shared" si="281"/>
        <v>-30.014415167953203</v>
      </c>
      <c r="AP185" s="13">
        <f t="shared" si="223"/>
        <v>-1.1399150677473537</v>
      </c>
      <c r="AQ185" s="10" t="s">
        <v>237</v>
      </c>
      <c r="AR185" s="10" t="s">
        <v>235</v>
      </c>
      <c r="AS185">
        <v>132.16</v>
      </c>
    </row>
    <row r="186" spans="1:45" ht="13" customHeight="1">
      <c r="A186" s="7" t="s">
        <v>163</v>
      </c>
      <c r="B186" s="7" t="s">
        <v>82</v>
      </c>
      <c r="C186" s="4">
        <v>4.0976198772469203</v>
      </c>
      <c r="D186" s="4">
        <f t="shared" ref="D186:D188" si="311">POWER(10,C186)</f>
        <v>12520.448242187356</v>
      </c>
      <c r="E186" s="13">
        <f t="shared" si="163"/>
        <v>9.8285518701170744</v>
      </c>
      <c r="F186" s="13">
        <f t="shared" si="164"/>
        <v>-37.985739702246214</v>
      </c>
      <c r="G186" s="13">
        <f t="shared" si="135"/>
        <v>-1.3983420604881718</v>
      </c>
      <c r="H186" s="4">
        <v>4.6583478743286904</v>
      </c>
      <c r="I186" s="9">
        <f t="shared" ref="I186:I188" si="312">POWER(10,H186)</f>
        <v>45535.265625000022</v>
      </c>
      <c r="J186" s="13">
        <f t="shared" si="161"/>
        <v>35.745183515625016</v>
      </c>
      <c r="K186" s="13">
        <f t="shared" si="162"/>
        <v>60.763944619645436</v>
      </c>
      <c r="L186" s="13">
        <f t="shared" si="136"/>
        <v>4.2089379103295235</v>
      </c>
      <c r="M186" s="3">
        <v>-653</v>
      </c>
      <c r="N186" s="3">
        <v>-492</v>
      </c>
      <c r="O186" s="3">
        <f t="shared" si="181"/>
        <v>161</v>
      </c>
      <c r="P186" s="13">
        <v>0.502</v>
      </c>
      <c r="Q186" s="13">
        <f t="shared" si="175"/>
        <v>639.49044585987258</v>
      </c>
      <c r="R186" s="13">
        <f t="shared" si="176"/>
        <v>-5.9071126689442588</v>
      </c>
      <c r="S186" s="13">
        <f t="shared" si="170"/>
        <v>-0.24925128088071996</v>
      </c>
      <c r="T186" s="43">
        <v>194</v>
      </c>
      <c r="U186" s="43">
        <v>156</v>
      </c>
      <c r="V186" s="4">
        <v>32870</v>
      </c>
      <c r="W186" s="4">
        <v>40330</v>
      </c>
      <c r="X186" s="4">
        <v>51301</v>
      </c>
      <c r="Y186" s="4">
        <v>38366</v>
      </c>
      <c r="Z186" s="4">
        <v>14488</v>
      </c>
      <c r="AA186" s="4">
        <v>9937</v>
      </c>
      <c r="AB186" s="4">
        <v>6694</v>
      </c>
      <c r="AC186" s="4">
        <v>6750</v>
      </c>
      <c r="AD186" s="13">
        <f t="shared" si="142"/>
        <v>3.5438466797517783</v>
      </c>
      <c r="AE186" s="13">
        <f t="shared" si="143"/>
        <v>4.0807200885408212</v>
      </c>
      <c r="AF186" s="13">
        <f t="shared" si="144"/>
        <v>4.9900528955062988</v>
      </c>
      <c r="AG186" s="13">
        <f t="shared" si="145"/>
        <v>3.6854692136523797</v>
      </c>
      <c r="AH186" s="13">
        <f t="shared" si="146"/>
        <v>-0.22071509260048172</v>
      </c>
      <c r="AI186" s="13">
        <f t="shared" si="147"/>
        <v>-1.08867584186551</v>
      </c>
      <c r="AJ186" s="13">
        <f t="shared" si="148"/>
        <v>-3.1211133503642818</v>
      </c>
      <c r="AK186" s="15">
        <f t="shared" si="221"/>
        <v>5.2987500000000001</v>
      </c>
      <c r="AL186" s="13">
        <f t="shared" si="280"/>
        <v>-112.72592592592594</v>
      </c>
      <c r="AM186" s="13">
        <f t="shared" si="149"/>
        <v>-3.2782042267384437</v>
      </c>
      <c r="AN186" s="17">
        <f t="shared" si="222"/>
        <v>11.504502083333334</v>
      </c>
      <c r="AO186" s="13">
        <f t="shared" si="281"/>
        <v>4.6894865977286866</v>
      </c>
      <c r="AP186" s="13">
        <f t="shared" si="223"/>
        <v>0.20859191064113347</v>
      </c>
      <c r="AQ186" s="10" t="s">
        <v>239</v>
      </c>
      <c r="AR186" s="10" t="s">
        <v>236</v>
      </c>
      <c r="AS186">
        <v>293.38</v>
      </c>
    </row>
    <row r="187" spans="1:45" ht="14">
      <c r="A187" s="7" t="s">
        <v>163</v>
      </c>
      <c r="B187" s="7" t="s">
        <v>82</v>
      </c>
      <c r="C187" s="4">
        <v>4.0700735991418</v>
      </c>
      <c r="D187" s="4">
        <f t="shared" si="311"/>
        <v>11750.966796874807</v>
      </c>
      <c r="E187" s="13">
        <f t="shared" si="163"/>
        <v>9.2245089355467247</v>
      </c>
      <c r="F187" s="13">
        <f t="shared" si="164"/>
        <v>-47.021376365507273</v>
      </c>
      <c r="G187" s="13">
        <f t="shared" ref="G187:G220" si="313">10*LOG10(E187/13.562)</f>
        <v>-1.6738048415393749</v>
      </c>
      <c r="H187" s="4">
        <v>4.3759469914971802</v>
      </c>
      <c r="I187" s="9">
        <f t="shared" si="312"/>
        <v>23765.50195312472</v>
      </c>
      <c r="J187" s="13">
        <f t="shared" si="161"/>
        <v>18.655919033202906</v>
      </c>
      <c r="K187" s="13">
        <f t="shared" si="162"/>
        <v>24.822786939421317</v>
      </c>
      <c r="L187" s="13">
        <f t="shared" ref="L187:L220" si="314">10*LOG10(J187/13.562)</f>
        <v>1.3849290820144242</v>
      </c>
      <c r="M187" s="3">
        <v>-635</v>
      </c>
      <c r="N187" s="3">
        <v>-503</v>
      </c>
      <c r="O187" s="3">
        <f t="shared" si="181"/>
        <v>132</v>
      </c>
      <c r="P187" s="13">
        <v>0.46800000000000003</v>
      </c>
      <c r="Q187" s="13">
        <f t="shared" si="175"/>
        <v>596.17834394904457</v>
      </c>
      <c r="R187" s="13">
        <f t="shared" si="176"/>
        <v>1.2658790257651154</v>
      </c>
      <c r="S187" s="13">
        <f t="shared" ref="S187:S220" si="315">10*LOG10(603.822/Q187)</f>
        <v>5.5327359828233509E-2</v>
      </c>
      <c r="T187" s="43">
        <v>182</v>
      </c>
      <c r="U187" s="43">
        <v>175</v>
      </c>
      <c r="V187" s="4">
        <v>21483</v>
      </c>
      <c r="W187" s="4">
        <v>18000</v>
      </c>
      <c r="X187" s="4">
        <v>23093</v>
      </c>
      <c r="Y187" s="4">
        <v>18781</v>
      </c>
      <c r="Z187" s="4">
        <v>11066</v>
      </c>
      <c r="AA187" s="4">
        <v>9034</v>
      </c>
      <c r="AB187" s="4">
        <v>7446</v>
      </c>
      <c r="AC187" s="4">
        <v>6581</v>
      </c>
      <c r="AD187" s="13">
        <f t="shared" si="142"/>
        <v>1.6967989233963288</v>
      </c>
      <c r="AE187" s="13">
        <f t="shared" si="143"/>
        <v>0.57716291949769549</v>
      </c>
      <c r="AF187" s="13">
        <f t="shared" si="144"/>
        <v>1.5235981430155132</v>
      </c>
      <c r="AG187" s="13">
        <f t="shared" si="145"/>
        <v>0.58319111592306005</v>
      </c>
      <c r="AH187" s="13">
        <f t="shared" si="146"/>
        <v>-1.3908928068791653</v>
      </c>
      <c r="AI187" s="13">
        <f t="shared" si="147"/>
        <v>-1.5024278778127882</v>
      </c>
      <c r="AJ187" s="13">
        <f t="shared" si="148"/>
        <v>-2.6587401117581306</v>
      </c>
      <c r="AK187" s="15">
        <f t="shared" si="221"/>
        <v>5.1660849999999998</v>
      </c>
      <c r="AL187" s="13">
        <f t="shared" si="280"/>
        <v>-118.18872511776325</v>
      </c>
      <c r="AM187" s="13">
        <f t="shared" si="149"/>
        <v>-3.388323047048734</v>
      </c>
      <c r="AN187" s="17">
        <f t="shared" si="222"/>
        <v>8.1098922395833331</v>
      </c>
      <c r="AO187" s="13">
        <f t="shared" si="281"/>
        <v>-35.20524904734561</v>
      </c>
      <c r="AP187" s="13">
        <f t="shared" si="223"/>
        <v>-1.309935524639456</v>
      </c>
      <c r="AQ187" s="10" t="s">
        <v>239</v>
      </c>
      <c r="AR187" s="10" t="s">
        <v>236</v>
      </c>
      <c r="AS187">
        <v>293.38</v>
      </c>
    </row>
    <row r="188" spans="1:45" ht="14">
      <c r="A188" s="7" t="s">
        <v>163</v>
      </c>
      <c r="B188" s="7" t="s">
        <v>82</v>
      </c>
      <c r="C188" s="4">
        <v>4.1341502959105396</v>
      </c>
      <c r="D188" s="4">
        <f t="shared" si="311"/>
        <v>13619.159179687502</v>
      </c>
      <c r="E188" s="13">
        <f t="shared" si="163"/>
        <v>10.691039956054688</v>
      </c>
      <c r="F188" s="13">
        <f t="shared" si="164"/>
        <v>-26.853889385376316</v>
      </c>
      <c r="G188" s="13">
        <f t="shared" si="313"/>
        <v>-1.0330378738519825</v>
      </c>
      <c r="H188" s="4">
        <v>4.3614755429841896</v>
      </c>
      <c r="I188" s="9">
        <f t="shared" si="312"/>
        <v>22986.642578124742</v>
      </c>
      <c r="J188" s="13">
        <f t="shared" si="161"/>
        <v>18.044514423827923</v>
      </c>
      <c r="K188" s="13">
        <f t="shared" si="162"/>
        <v>22.275547733887045</v>
      </c>
      <c r="L188" s="13">
        <f t="shared" si="314"/>
        <v>1.2402145968845195</v>
      </c>
      <c r="M188" s="3">
        <v>-651</v>
      </c>
      <c r="N188" s="3">
        <v>-498</v>
      </c>
      <c r="O188" s="3">
        <f t="shared" si="181"/>
        <v>153</v>
      </c>
      <c r="P188" s="13">
        <v>0.68300000000000005</v>
      </c>
      <c r="Q188" s="13">
        <f t="shared" si="175"/>
        <v>870.06369426751587</v>
      </c>
      <c r="R188" s="13">
        <f t="shared" si="176"/>
        <v>-44.092744926073557</v>
      </c>
      <c r="S188" s="13">
        <f t="shared" si="315"/>
        <v>-1.586421146245852</v>
      </c>
      <c r="T188" s="43">
        <v>176</v>
      </c>
      <c r="U188" s="43">
        <v>158</v>
      </c>
      <c r="V188" s="4">
        <v>13663</v>
      </c>
      <c r="W188" s="4">
        <v>23713</v>
      </c>
      <c r="X188" s="4">
        <v>18549</v>
      </c>
      <c r="Y188" s="4">
        <v>18902</v>
      </c>
      <c r="Z188" s="4">
        <v>17493</v>
      </c>
      <c r="AA188" s="4">
        <v>9180</v>
      </c>
      <c r="AB188" s="4">
        <v>8227</v>
      </c>
      <c r="AC188" s="4">
        <v>7376</v>
      </c>
      <c r="AD188" s="13">
        <f t="shared" ref="AD188:AD219" si="316">10*LOG10(V188/14535)</f>
        <v>-0.26868967771367569</v>
      </c>
      <c r="AE188" s="13">
        <f t="shared" ref="AE188:AE220" si="317">10*LOG10(W188/15760)</f>
        <v>1.7743028814757291</v>
      </c>
      <c r="AF188" s="13">
        <f t="shared" ref="AF188:AF220" si="318">10*LOG10(X188/16260)</f>
        <v>0.57199959960488345</v>
      </c>
      <c r="AG188" s="13">
        <f t="shared" ref="AG188:AG220" si="319">10*LOG10(Y188/16421)</f>
        <v>0.61108157735965996</v>
      </c>
      <c r="AH188" s="13">
        <f t="shared" ref="AH188:AH220" si="320">10*LOG10(Z188/15243.33333)</f>
        <v>0.59784349574656637</v>
      </c>
      <c r="AI188" s="13">
        <f t="shared" ref="AI188:AI220" si="321">10*LOG10(AA188/12768)</f>
        <v>-1.4328019280541175</v>
      </c>
      <c r="AJ188" s="13">
        <f t="shared" ref="AJ188:AJ220" si="322">10*LOG10(AB188/13734)</f>
        <v>-2.2255554575199215</v>
      </c>
      <c r="AK188" s="15">
        <f t="shared" si="221"/>
        <v>5.7901600000000002</v>
      </c>
      <c r="AL188" s="13">
        <f t="shared" si="280"/>
        <v>-94.671908893709329</v>
      </c>
      <c r="AM188" s="13">
        <f t="shared" ref="AM188:AM220" si="323">10*LOG10(AK188/11.271815)</f>
        <v>-2.8930328745929632</v>
      </c>
      <c r="AN188" s="17">
        <f t="shared" si="222"/>
        <v>9.2512904166666665</v>
      </c>
      <c r="AO188" s="13">
        <f t="shared" si="281"/>
        <v>-18.524005907824481</v>
      </c>
      <c r="AP188" s="13">
        <f t="shared" ref="AP188:AP220" si="324">10*LOG10(AN188/10.965)</f>
        <v>-0.73806321463621649</v>
      </c>
      <c r="AQ188" s="10" t="s">
        <v>239</v>
      </c>
      <c r="AR188" s="10" t="s">
        <v>236</v>
      </c>
      <c r="AS188">
        <v>293.38</v>
      </c>
    </row>
    <row r="189" spans="1:45" ht="13" customHeight="1">
      <c r="A189" s="7" t="s">
        <v>143</v>
      </c>
      <c r="B189" s="7" t="s">
        <v>83</v>
      </c>
      <c r="C189" s="4">
        <v>3.8452149287474402</v>
      </c>
      <c r="D189" s="4">
        <f t="shared" ref="D189:D191" si="325">POWER(10,C189)</f>
        <v>7001.8842773437009</v>
      </c>
      <c r="E189" s="13">
        <f t="shared" si="163"/>
        <v>5.4964791577148056</v>
      </c>
      <c r="F189" s="13">
        <f t="shared" si="164"/>
        <v>-146.73976942065732</v>
      </c>
      <c r="G189" s="13">
        <f t="shared" si="313"/>
        <v>-3.9223915454829723</v>
      </c>
      <c r="H189" s="4">
        <v>3.6430072230143802</v>
      </c>
      <c r="I189" s="9">
        <f t="shared" ref="I189:I191" si="326">POWER(10,H189)</f>
        <v>4395.4892578124982</v>
      </c>
      <c r="J189" s="13">
        <f t="shared" si="161"/>
        <v>3.4504590673828113</v>
      </c>
      <c r="K189" s="13">
        <f t="shared" si="162"/>
        <v>-306.46765332121521</v>
      </c>
      <c r="L189" s="13">
        <f t="shared" si="314"/>
        <v>-5.9444686028135774</v>
      </c>
      <c r="M189" s="3">
        <v>-477</v>
      </c>
      <c r="N189" s="3">
        <v>-471</v>
      </c>
      <c r="O189" s="3">
        <f t="shared" si="181"/>
        <v>6</v>
      </c>
      <c r="P189" s="13">
        <v>1.869</v>
      </c>
      <c r="Q189" s="13">
        <f t="shared" si="175"/>
        <v>2380.8917197452229</v>
      </c>
      <c r="R189" s="13">
        <f t="shared" si="176"/>
        <v>-294.30357286505341</v>
      </c>
      <c r="S189" s="13">
        <f t="shared" si="315"/>
        <v>-5.9583071232188463</v>
      </c>
      <c r="T189" s="43">
        <v>23</v>
      </c>
      <c r="U189" s="43">
        <v>285</v>
      </c>
      <c r="V189" s="4">
        <v>21561</v>
      </c>
      <c r="W189" s="4">
        <v>7497</v>
      </c>
      <c r="X189" s="4">
        <v>4565</v>
      </c>
      <c r="Y189" s="4">
        <v>3870</v>
      </c>
      <c r="Z189" s="4">
        <v>3473</v>
      </c>
      <c r="AA189" s="4">
        <v>4045</v>
      </c>
      <c r="AB189" s="4">
        <v>5990</v>
      </c>
      <c r="AC189" s="4">
        <v>7324</v>
      </c>
      <c r="AD189" s="13">
        <f t="shared" si="316"/>
        <v>1.7125386346996372</v>
      </c>
      <c r="AE189" s="13">
        <f t="shared" si="317"/>
        <v>-3.2266870230742404</v>
      </c>
      <c r="AF189" s="13">
        <f t="shared" si="318"/>
        <v>-5.5167975938773157</v>
      </c>
      <c r="AG189" s="13">
        <f t="shared" si="319"/>
        <v>-6.2768863607497849</v>
      </c>
      <c r="AH189" s="13">
        <f t="shared" si="320"/>
        <v>-6.4237516325528787</v>
      </c>
      <c r="AI189" s="13">
        <f t="shared" si="321"/>
        <v>-4.9920434805836313</v>
      </c>
      <c r="AJ189" s="13">
        <f t="shared" si="322"/>
        <v>-3.6037022066887516</v>
      </c>
      <c r="AK189" s="15">
        <f t="shared" si="221"/>
        <v>5.7493400000000001</v>
      </c>
      <c r="AL189" s="13">
        <f t="shared" si="280"/>
        <v>-96.05406881485527</v>
      </c>
      <c r="AM189" s="13">
        <f t="shared" si="323"/>
        <v>-2.9237585987521046</v>
      </c>
      <c r="AN189" s="17">
        <f t="shared" si="222"/>
        <v>3.9619113541666668</v>
      </c>
      <c r="AO189" s="13">
        <f t="shared" si="281"/>
        <v>-176.76035680274165</v>
      </c>
      <c r="AP189" s="13">
        <f t="shared" si="324"/>
        <v>-4.4210388182942548</v>
      </c>
      <c r="AQ189" s="10" t="s">
        <v>241</v>
      </c>
      <c r="AR189" s="10" t="s">
        <v>235</v>
      </c>
      <c r="AS189">
        <v>138.19</v>
      </c>
    </row>
    <row r="190" spans="1:45" ht="14">
      <c r="A190" s="7" t="s">
        <v>143</v>
      </c>
      <c r="B190" s="7" t="s">
        <v>83</v>
      </c>
      <c r="C190" s="4">
        <v>3.8376646244321799</v>
      </c>
      <c r="D190" s="4">
        <f t="shared" si="325"/>
        <v>6881.2070312498581</v>
      </c>
      <c r="E190" s="13">
        <f t="shared" si="163"/>
        <v>5.4017475195311393</v>
      </c>
      <c r="F190" s="13">
        <f t="shared" si="164"/>
        <v>-151.06689920185596</v>
      </c>
      <c r="G190" s="13">
        <f t="shared" si="313"/>
        <v>-3.997894588635579</v>
      </c>
      <c r="H190" s="4">
        <v>3.7333814537521102</v>
      </c>
      <c r="I190" s="9">
        <f t="shared" si="326"/>
        <v>5412.2949218750073</v>
      </c>
      <c r="J190" s="13">
        <f t="shared" si="161"/>
        <v>4.2486515136718808</v>
      </c>
      <c r="K190" s="13">
        <f t="shared" si="162"/>
        <v>-230.10473923004687</v>
      </c>
      <c r="L190" s="13">
        <f t="shared" si="314"/>
        <v>-5.0407262954362757</v>
      </c>
      <c r="M190" s="3">
        <v>-495</v>
      </c>
      <c r="N190" s="3">
        <v>-487</v>
      </c>
      <c r="O190" s="3">
        <f t="shared" si="181"/>
        <v>8</v>
      </c>
      <c r="P190" s="13">
        <v>1.6639999999999999</v>
      </c>
      <c r="Q190" s="13">
        <f t="shared" si="175"/>
        <v>2119.7452229299361</v>
      </c>
      <c r="R190" s="13">
        <f t="shared" si="176"/>
        <v>-251.05465235283509</v>
      </c>
      <c r="S190" s="13">
        <f t="shared" si="315"/>
        <v>-5.4537473289775775</v>
      </c>
      <c r="T190" s="43">
        <v>22</v>
      </c>
      <c r="U190" s="43">
        <v>283</v>
      </c>
      <c r="V190" s="4">
        <v>24129</v>
      </c>
      <c r="W190" s="4">
        <v>12921</v>
      </c>
      <c r="X190" s="4">
        <v>6038</v>
      </c>
      <c r="Y190" s="4">
        <v>4679</v>
      </c>
      <c r="Z190" s="4">
        <v>4320</v>
      </c>
      <c r="AA190" s="4">
        <v>4520</v>
      </c>
      <c r="AB190" s="4">
        <v>5144</v>
      </c>
      <c r="AC190" s="4">
        <v>5855</v>
      </c>
      <c r="AD190" s="13">
        <f t="shared" si="316"/>
        <v>2.2012428731575788</v>
      </c>
      <c r="AE190" s="13">
        <f t="shared" si="317"/>
        <v>-0.86260086671273983</v>
      </c>
      <c r="AF190" s="13">
        <f t="shared" si="318"/>
        <v>-4.3022743257097043</v>
      </c>
      <c r="AG190" s="13">
        <f t="shared" si="319"/>
        <v>-5.4524655590170958</v>
      </c>
      <c r="AH190" s="13">
        <f t="shared" si="320"/>
        <v>-5.47596199751138</v>
      </c>
      <c r="AI190" s="13">
        <f t="shared" si="321"/>
        <v>-4.5098443919527211</v>
      </c>
      <c r="AJ190" s="13">
        <f t="shared" si="322"/>
        <v>-4.2649608314202085</v>
      </c>
      <c r="AK190" s="15">
        <f t="shared" si="221"/>
        <v>4.5961750000000006</v>
      </c>
      <c r="AL190" s="13">
        <f t="shared" si="280"/>
        <v>-145.24338172502132</v>
      </c>
      <c r="AM190" s="13">
        <f t="shared" si="323"/>
        <v>-3.895972960964873</v>
      </c>
      <c r="AN190" s="17">
        <f t="shared" si="222"/>
        <v>4.1247825000000002</v>
      </c>
      <c r="AO190" s="13">
        <f t="shared" si="281"/>
        <v>-165.83219842500782</v>
      </c>
      <c r="AP190" s="13">
        <f t="shared" si="324"/>
        <v>-4.2460758289491549</v>
      </c>
      <c r="AQ190" s="10" t="s">
        <v>241</v>
      </c>
      <c r="AR190" s="10" t="s">
        <v>235</v>
      </c>
      <c r="AS190">
        <v>138.19</v>
      </c>
    </row>
    <row r="191" spans="1:45" ht="14">
      <c r="A191" s="7" t="s">
        <v>143</v>
      </c>
      <c r="B191" s="7" t="s">
        <v>83</v>
      </c>
      <c r="C191" s="4">
        <v>3.8964576162003799</v>
      </c>
      <c r="D191" s="4">
        <f t="shared" si="325"/>
        <v>7878.75537109375</v>
      </c>
      <c r="E191" s="13">
        <f t="shared" si="163"/>
        <v>6.1848229663085936</v>
      </c>
      <c r="F191" s="13">
        <f t="shared" si="164"/>
        <v>-119.27870973636723</v>
      </c>
      <c r="G191" s="13">
        <f t="shared" si="313"/>
        <v>-3.4099646709535798</v>
      </c>
      <c r="H191" s="4">
        <v>3.7214999419734802</v>
      </c>
      <c r="I191" s="9">
        <f t="shared" si="326"/>
        <v>5266.2314453124854</v>
      </c>
      <c r="J191" s="13">
        <f t="shared" si="161"/>
        <v>4.1339916845703009</v>
      </c>
      <c r="K191" s="13">
        <f t="shared" si="162"/>
        <v>-239.26047922028658</v>
      </c>
      <c r="L191" s="13">
        <f t="shared" si="314"/>
        <v>-5.1595414132225761</v>
      </c>
      <c r="M191" s="3">
        <v>-489</v>
      </c>
      <c r="N191" s="3">
        <v>-484</v>
      </c>
      <c r="O191" s="3">
        <f t="shared" si="181"/>
        <v>5</v>
      </c>
      <c r="P191" s="13">
        <v>1.5580000000000001</v>
      </c>
      <c r="Q191" s="13">
        <f t="shared" si="175"/>
        <v>1984.7133757961783</v>
      </c>
      <c r="R191" s="13">
        <f t="shared" si="176"/>
        <v>-228.69179589285889</v>
      </c>
      <c r="S191" s="13">
        <f t="shared" si="315"/>
        <v>-5.1678886427959831</v>
      </c>
      <c r="T191" s="43">
        <v>24</v>
      </c>
      <c r="U191" s="43">
        <v>276</v>
      </c>
      <c r="V191" s="4">
        <v>29332</v>
      </c>
      <c r="W191" s="4">
        <v>9548</v>
      </c>
      <c r="X191" s="4">
        <v>5354</v>
      </c>
      <c r="Y191" s="4">
        <v>4693</v>
      </c>
      <c r="Z191" s="4">
        <v>3820</v>
      </c>
      <c r="AA191" s="4">
        <v>4564</v>
      </c>
      <c r="AB191" s="4">
        <v>6537</v>
      </c>
      <c r="AC191" s="4">
        <v>7681</v>
      </c>
      <c r="AD191" s="13">
        <f t="shared" si="316"/>
        <v>3.0492664021712641</v>
      </c>
      <c r="AE191" s="13">
        <f t="shared" si="317"/>
        <v>-2.1764380281881959</v>
      </c>
      <c r="AF191" s="13">
        <f t="shared" si="318"/>
        <v>-4.8244217440713557</v>
      </c>
      <c r="AG191" s="13">
        <f t="shared" si="319"/>
        <v>-5.4394904688139514</v>
      </c>
      <c r="AH191" s="13">
        <f t="shared" si="320"/>
        <v>-6.0101658365434139</v>
      </c>
      <c r="AI191" s="13">
        <f t="shared" si="321"/>
        <v>-4.4677723826047719</v>
      </c>
      <c r="AJ191" s="13">
        <f t="shared" si="322"/>
        <v>-3.2241855809226849</v>
      </c>
      <c r="AK191" s="15">
        <f t="shared" si="221"/>
        <v>6.029585</v>
      </c>
      <c r="AL191" s="13">
        <f t="shared" si="280"/>
        <v>-86.941804452545242</v>
      </c>
      <c r="AM191" s="13">
        <f t="shared" si="323"/>
        <v>-2.7170643039393321</v>
      </c>
      <c r="AN191" s="17">
        <f t="shared" si="222"/>
        <v>4.4507210416666663</v>
      </c>
      <c r="AO191" s="13">
        <f t="shared" si="281"/>
        <v>-146.36457547772807</v>
      </c>
      <c r="AP191" s="13">
        <f t="shared" si="324"/>
        <v>-3.91578261201124</v>
      </c>
      <c r="AQ191" s="10" t="s">
        <v>241</v>
      </c>
      <c r="AR191" s="10" t="s">
        <v>235</v>
      </c>
      <c r="AS191">
        <v>138.19</v>
      </c>
    </row>
    <row r="192" spans="1:45" ht="13" customHeight="1">
      <c r="A192" s="24" t="s">
        <v>208</v>
      </c>
      <c r="B192" s="7" t="s">
        <v>84</v>
      </c>
      <c r="C192" s="4">
        <v>5.9313694708150004</v>
      </c>
      <c r="D192" s="4">
        <f t="shared" ref="D192:D196" si="327">POWER(10,C192)</f>
        <v>853826.18749999604</v>
      </c>
      <c r="E192" s="13">
        <f t="shared" si="163"/>
        <v>670.25355718749688</v>
      </c>
      <c r="F192" s="13">
        <f t="shared" si="164"/>
        <v>97.976586643283397</v>
      </c>
      <c r="G192" s="13">
        <f t="shared" si="313"/>
        <v>16.939153875192623</v>
      </c>
      <c r="H192" s="4">
        <v>5.66288341077989</v>
      </c>
      <c r="I192" s="9">
        <f t="shared" ref="I192:I196" si="328">POWER(10,H192)</f>
        <v>460133.03124999866</v>
      </c>
      <c r="J192" s="13">
        <f t="shared" si="161"/>
        <v>361.20442953124899</v>
      </c>
      <c r="K192" s="13">
        <f t="shared" si="162"/>
        <v>96.117157251310331</v>
      </c>
      <c r="L192" s="13">
        <f t="shared" si="314"/>
        <v>14.254293274841521</v>
      </c>
      <c r="M192" s="3">
        <v>-555</v>
      </c>
      <c r="N192" s="3">
        <v>-456</v>
      </c>
      <c r="O192" s="3">
        <f t="shared" si="181"/>
        <v>99</v>
      </c>
      <c r="P192" s="13">
        <v>3.5999999999999997E-2</v>
      </c>
      <c r="Q192" s="13">
        <f t="shared" si="175"/>
        <v>45.859872611464965</v>
      </c>
      <c r="R192" s="13">
        <f t="shared" si="176"/>
        <v>92.405067617366541</v>
      </c>
      <c r="S192" s="13">
        <f t="shared" si="315"/>
        <v>11.194760882896603</v>
      </c>
      <c r="T192" s="43">
        <v>178</v>
      </c>
      <c r="U192" s="43">
        <v>149</v>
      </c>
      <c r="V192" s="4">
        <v>123444</v>
      </c>
      <c r="W192" s="4">
        <v>181408</v>
      </c>
      <c r="X192" s="4">
        <v>323843</v>
      </c>
      <c r="Y192" s="4">
        <v>323218</v>
      </c>
      <c r="Z192" s="4">
        <v>268895</v>
      </c>
      <c r="AA192" s="4">
        <v>314244</v>
      </c>
      <c r="AB192" s="4">
        <v>623418</v>
      </c>
      <c r="AC192" s="4">
        <v>763185</v>
      </c>
      <c r="AD192" s="13">
        <f t="shared" si="316"/>
        <v>9.2905494977578478</v>
      </c>
      <c r="AE192" s="13">
        <f t="shared" si="317"/>
        <v>10.611002221573395</v>
      </c>
      <c r="AF192" s="13">
        <f t="shared" si="318"/>
        <v>12.992139727789858</v>
      </c>
      <c r="AG192" s="13">
        <f t="shared" si="319"/>
        <v>12.940959375278345</v>
      </c>
      <c r="AH192" s="13">
        <f t="shared" si="320"/>
        <v>12.465027801920293</v>
      </c>
      <c r="AI192" s="13">
        <f t="shared" si="321"/>
        <v>13.911441202534325</v>
      </c>
      <c r="AJ192" s="13">
        <f t="shared" si="322"/>
        <v>16.569822944845246</v>
      </c>
      <c r="AK192" s="15">
        <f t="shared" si="221"/>
        <v>599.10022500000002</v>
      </c>
      <c r="AL192" s="13">
        <f t="shared" si="280"/>
        <v>98.11854268624252</v>
      </c>
      <c r="AM192" s="13">
        <f t="shared" si="323"/>
        <v>17.25505630445301</v>
      </c>
      <c r="AN192" s="17">
        <f t="shared" si="222"/>
        <v>335.67746427083335</v>
      </c>
      <c r="AO192" s="13">
        <f t="shared" si="281"/>
        <v>96.733471511464614</v>
      </c>
      <c r="AP192" s="13">
        <f t="shared" si="324"/>
        <v>14.859135498238494</v>
      </c>
      <c r="AQ192" s="10" t="s">
        <v>238</v>
      </c>
      <c r="AR192" s="10" t="s">
        <v>235</v>
      </c>
      <c r="AS192">
        <v>167.25</v>
      </c>
    </row>
    <row r="193" spans="1:45" ht="14">
      <c r="A193" s="24" t="s">
        <v>208</v>
      </c>
      <c r="B193" s="7" t="s">
        <v>84</v>
      </c>
      <c r="C193" s="4">
        <v>5.6475928528442401</v>
      </c>
      <c r="D193" s="4">
        <f t="shared" si="327"/>
        <v>444214.62499999895</v>
      </c>
      <c r="E193" s="13">
        <f t="shared" si="163"/>
        <v>348.7084806249992</v>
      </c>
      <c r="F193" s="13">
        <f t="shared" si="164"/>
        <v>96.110791462343428</v>
      </c>
      <c r="G193" s="13">
        <f t="shared" si="313"/>
        <v>14.101387695485027</v>
      </c>
      <c r="H193" s="4">
        <v>5.5783725999648199</v>
      </c>
      <c r="I193" s="9">
        <f t="shared" si="328"/>
        <v>378767.40625000058</v>
      </c>
      <c r="J193" s="13">
        <f t="shared" si="161"/>
        <v>297.33241390625045</v>
      </c>
      <c r="K193" s="13">
        <f t="shared" si="162"/>
        <v>95.283057162942853</v>
      </c>
      <c r="L193" s="13">
        <f t="shared" si="314"/>
        <v>13.40918516669082</v>
      </c>
      <c r="M193" s="3">
        <v>-531</v>
      </c>
      <c r="N193" s="3">
        <v>-461</v>
      </c>
      <c r="O193" s="3">
        <f t="shared" si="181"/>
        <v>70</v>
      </c>
      <c r="P193" s="13">
        <v>5.0999999999999997E-2</v>
      </c>
      <c r="Q193" s="13">
        <f t="shared" si="175"/>
        <v>64.968152866242036</v>
      </c>
      <c r="R193" s="13">
        <f t="shared" si="176"/>
        <v>89.240512457935935</v>
      </c>
      <c r="S193" s="13">
        <f t="shared" si="315"/>
        <v>9.6820841295901108</v>
      </c>
      <c r="T193" s="43">
        <v>47</v>
      </c>
      <c r="U193" s="43">
        <v>148</v>
      </c>
      <c r="V193" s="4">
        <v>228537</v>
      </c>
      <c r="W193" s="4">
        <v>237696</v>
      </c>
      <c r="X193" s="4">
        <v>308707</v>
      </c>
      <c r="Y193" s="4">
        <v>293774</v>
      </c>
      <c r="Z193" s="4">
        <v>190558</v>
      </c>
      <c r="AA193" s="4">
        <v>249452</v>
      </c>
      <c r="AB193" s="4">
        <v>427259</v>
      </c>
      <c r="AC193" s="4">
        <v>435749</v>
      </c>
      <c r="AD193" s="13">
        <f t="shared" si="316"/>
        <v>11.965414860017772</v>
      </c>
      <c r="AE193" s="13">
        <f t="shared" si="317"/>
        <v>11.784656602341121</v>
      </c>
      <c r="AF193" s="13">
        <f t="shared" si="318"/>
        <v>12.784259360598284</v>
      </c>
      <c r="AG193" s="13">
        <f t="shared" si="319"/>
        <v>12.526137555196746</v>
      </c>
      <c r="AH193" s="13">
        <f t="shared" si="320"/>
        <v>10.969472394622306</v>
      </c>
      <c r="AI193" s="13">
        <f t="shared" si="321"/>
        <v>12.908641162708786</v>
      </c>
      <c r="AJ193" s="13">
        <f t="shared" si="322"/>
        <v>14.928941766298948</v>
      </c>
      <c r="AK193" s="15">
        <f t="shared" si="221"/>
        <v>342.06296500000002</v>
      </c>
      <c r="AL193" s="13">
        <f t="shared" si="280"/>
        <v>96.704754342522875</v>
      </c>
      <c r="AM193" s="13">
        <f t="shared" si="323"/>
        <v>14.821122036162775</v>
      </c>
      <c r="AN193" s="17">
        <f t="shared" si="222"/>
        <v>240.62491338541668</v>
      </c>
      <c r="AO193" s="13">
        <f t="shared" si="281"/>
        <v>95.443115242835646</v>
      </c>
      <c r="AP193" s="13">
        <f t="shared" si="324"/>
        <v>13.413319545117933</v>
      </c>
      <c r="AQ193" s="10" t="s">
        <v>238</v>
      </c>
      <c r="AR193" s="10" t="s">
        <v>235</v>
      </c>
      <c r="AS193">
        <v>167.25</v>
      </c>
    </row>
    <row r="194" spans="1:45" ht="14">
      <c r="A194" s="24" t="s">
        <v>208</v>
      </c>
      <c r="B194" s="7" t="s">
        <v>84</v>
      </c>
      <c r="C194" s="4">
        <v>5.7607018386834197</v>
      </c>
      <c r="D194" s="4">
        <f t="shared" si="327"/>
        <v>576370.62499999104</v>
      </c>
      <c r="E194" s="13">
        <f t="shared" si="163"/>
        <v>452.450940624993</v>
      </c>
      <c r="F194" s="13">
        <f t="shared" si="164"/>
        <v>97.002547948896705</v>
      </c>
      <c r="G194" s="13">
        <f t="shared" si="313"/>
        <v>15.232477553876818</v>
      </c>
      <c r="H194" s="4">
        <v>5.3470396668365101</v>
      </c>
      <c r="I194" s="9">
        <f t="shared" si="328"/>
        <v>222351.29687500029</v>
      </c>
      <c r="J194" s="13">
        <f t="shared" si="161"/>
        <v>174.54576804687522</v>
      </c>
      <c r="K194" s="13">
        <f t="shared" si="162"/>
        <v>91.964858181933394</v>
      </c>
      <c r="L194" s="13">
        <f t="shared" si="314"/>
        <v>11.095855835407725</v>
      </c>
      <c r="M194" s="3">
        <v>-552</v>
      </c>
      <c r="N194" s="3">
        <v>-456</v>
      </c>
      <c r="O194" s="3">
        <f t="shared" si="181"/>
        <v>96</v>
      </c>
      <c r="P194" s="13">
        <v>6.4000000000000001E-2</v>
      </c>
      <c r="Q194" s="13">
        <f t="shared" si="175"/>
        <v>81.528662420382162</v>
      </c>
      <c r="R194" s="13">
        <f t="shared" si="176"/>
        <v>86.497897986429422</v>
      </c>
      <c r="S194" s="13">
        <f t="shared" si="315"/>
        <v>8.6959861507306009</v>
      </c>
      <c r="T194" s="43">
        <v>171</v>
      </c>
      <c r="U194" s="43">
        <v>144</v>
      </c>
      <c r="V194" s="4">
        <v>105985</v>
      </c>
      <c r="W194" s="4">
        <v>127360</v>
      </c>
      <c r="X194" s="4">
        <v>165109</v>
      </c>
      <c r="Y194" s="4">
        <v>382735</v>
      </c>
      <c r="Z194" s="4">
        <v>228727</v>
      </c>
      <c r="AA194" s="4">
        <v>307343</v>
      </c>
      <c r="AB194" s="4">
        <v>791987</v>
      </c>
      <c r="AC194" s="4">
        <v>828877</v>
      </c>
      <c r="AD194" s="13">
        <f t="shared" si="316"/>
        <v>8.6282936804325026</v>
      </c>
      <c r="AE194" s="13">
        <f t="shared" si="317"/>
        <v>9.0747683724005732</v>
      </c>
      <c r="AF194" s="13">
        <f t="shared" si="318"/>
        <v>10.066502058012677</v>
      </c>
      <c r="AG194" s="13">
        <f t="shared" si="319"/>
        <v>13.674985779109427</v>
      </c>
      <c r="AH194" s="13">
        <f t="shared" si="320"/>
        <v>11.762374872094398</v>
      </c>
      <c r="AI194" s="13">
        <f t="shared" si="321"/>
        <v>13.815004521341553</v>
      </c>
      <c r="AJ194" s="13">
        <f t="shared" si="322"/>
        <v>17.609210099017602</v>
      </c>
      <c r="AK194" s="15">
        <f t="shared" si="221"/>
        <v>650.66844500000002</v>
      </c>
      <c r="AL194" s="13">
        <f t="shared" si="280"/>
        <v>98.26765611785585</v>
      </c>
      <c r="AM194" s="13">
        <f t="shared" si="323"/>
        <v>17.613658933270234</v>
      </c>
      <c r="AN194" s="17">
        <f t="shared" si="222"/>
        <v>365.17145973958333</v>
      </c>
      <c r="AO194" s="13">
        <f t="shared" si="281"/>
        <v>96.99730093698463</v>
      </c>
      <c r="AP194" s="13">
        <f t="shared" si="324"/>
        <v>15.224881915508989</v>
      </c>
      <c r="AQ194" s="10" t="s">
        <v>238</v>
      </c>
      <c r="AR194" s="10" t="s">
        <v>235</v>
      </c>
      <c r="AS194">
        <v>167.25</v>
      </c>
    </row>
    <row r="195" spans="1:45" ht="14">
      <c r="A195" s="24" t="s">
        <v>208</v>
      </c>
      <c r="B195" s="7" t="s">
        <v>84</v>
      </c>
      <c r="C195" s="4">
        <v>5.7443159199169704</v>
      </c>
      <c r="D195" s="4">
        <f t="shared" si="327"/>
        <v>555029.31249999406</v>
      </c>
      <c r="E195" s="13">
        <f t="shared" si="163"/>
        <v>435.69801031249534</v>
      </c>
      <c r="F195" s="13">
        <f t="shared" si="164"/>
        <v>96.887293565955716</v>
      </c>
      <c r="G195" s="13">
        <f t="shared" si="313"/>
        <v>15.068618366212332</v>
      </c>
      <c r="H195" s="4">
        <v>5.5670090058022996</v>
      </c>
      <c r="I195" s="9">
        <f t="shared" si="328"/>
        <v>368985.24999999296</v>
      </c>
      <c r="J195" s="13">
        <f t="shared" si="161"/>
        <v>289.65342124999449</v>
      </c>
      <c r="K195" s="13">
        <f t="shared" si="162"/>
        <v>95.158006441120108</v>
      </c>
      <c r="L195" s="13">
        <f t="shared" si="314"/>
        <v>13.295549225065617</v>
      </c>
      <c r="M195" s="3">
        <v>-551</v>
      </c>
      <c r="N195" s="3">
        <v>-486</v>
      </c>
      <c r="O195" s="3">
        <f t="shared" si="181"/>
        <v>65</v>
      </c>
      <c r="P195" s="13">
        <v>0.02</v>
      </c>
      <c r="Q195" s="13">
        <f t="shared" si="175"/>
        <v>25.477707006369425</v>
      </c>
      <c r="R195" s="13">
        <f t="shared" si="176"/>
        <v>95.780593120759193</v>
      </c>
      <c r="S195" s="13">
        <f t="shared" si="315"/>
        <v>13.747485933929662</v>
      </c>
      <c r="T195" s="43">
        <v>34</v>
      </c>
      <c r="U195" s="43">
        <v>139</v>
      </c>
      <c r="V195" s="4">
        <v>105787</v>
      </c>
      <c r="W195" s="4">
        <v>136199</v>
      </c>
      <c r="X195" s="11">
        <v>277732</v>
      </c>
      <c r="Y195" s="4">
        <v>406666</v>
      </c>
      <c r="Z195" s="4">
        <v>459600</v>
      </c>
      <c r="AA195" s="4">
        <v>428957</v>
      </c>
      <c r="AB195" s="4">
        <v>656975</v>
      </c>
      <c r="AC195" s="4">
        <v>559024</v>
      </c>
      <c r="AD195" s="13">
        <f t="shared" si="316"/>
        <v>8.6201726509788053</v>
      </c>
      <c r="AE195" s="13">
        <f t="shared" si="317"/>
        <v>9.3661770575894039</v>
      </c>
      <c r="AF195" s="13">
        <f t="shared" si="318"/>
        <v>12.325053803458871</v>
      </c>
      <c r="AG195" s="13">
        <f t="shared" si="319"/>
        <v>13.938382629024453</v>
      </c>
      <c r="AH195" s="13">
        <f t="shared" si="320"/>
        <v>14.793000734501973</v>
      </c>
      <c r="AI195" s="13">
        <f t="shared" si="321"/>
        <v>15.262908853139814</v>
      </c>
      <c r="AJ195" s="13">
        <f t="shared" si="322"/>
        <v>16.797518005219541</v>
      </c>
      <c r="AK195" s="15">
        <f t="shared" si="221"/>
        <v>438.83384000000001</v>
      </c>
      <c r="AL195" s="13">
        <f t="shared" si="280"/>
        <v>97.431416182489485</v>
      </c>
      <c r="AM195" s="13">
        <f t="shared" si="323"/>
        <v>15.903062578982286</v>
      </c>
      <c r="AN195" s="17">
        <f t="shared" si="222"/>
        <v>375.50880583333333</v>
      </c>
      <c r="AO195" s="13">
        <f t="shared" si="281"/>
        <v>97.079961953044929</v>
      </c>
      <c r="AP195" s="13">
        <f t="shared" si="324"/>
        <v>15.346114898272685</v>
      </c>
      <c r="AQ195" s="10" t="s">
        <v>238</v>
      </c>
      <c r="AR195" s="10" t="s">
        <v>235</v>
      </c>
      <c r="AS195">
        <v>167.25</v>
      </c>
    </row>
    <row r="196" spans="1:45" ht="14">
      <c r="A196" s="24" t="s">
        <v>208</v>
      </c>
      <c r="B196" s="7" t="s">
        <v>84</v>
      </c>
      <c r="C196" s="4">
        <v>5.4305658197006199</v>
      </c>
      <c r="D196" s="4">
        <f t="shared" si="327"/>
        <v>269504.37499999505</v>
      </c>
      <c r="E196" s="13">
        <f t="shared" si="163"/>
        <v>211.56093437499612</v>
      </c>
      <c r="F196" s="13">
        <f t="shared" si="164"/>
        <v>93.589553742487695</v>
      </c>
      <c r="G196" s="13">
        <f t="shared" si="313"/>
        <v>11.931117364048818</v>
      </c>
      <c r="H196" s="4">
        <v>5.6506905194972701</v>
      </c>
      <c r="I196" s="9">
        <f t="shared" si="328"/>
        <v>447394.37499999802</v>
      </c>
      <c r="J196" s="13">
        <f t="shared" si="161"/>
        <v>351.20458437499849</v>
      </c>
      <c r="K196" s="13">
        <f t="shared" si="162"/>
        <v>96.00660110261407</v>
      </c>
      <c r="L196" s="13">
        <f t="shared" si="314"/>
        <v>14.132364362015322</v>
      </c>
      <c r="M196" s="3">
        <v>-563</v>
      </c>
      <c r="N196" s="3">
        <v>-506</v>
      </c>
      <c r="O196" s="3">
        <f t="shared" si="181"/>
        <v>57</v>
      </c>
      <c r="P196" s="13">
        <v>3.7999999999999999E-2</v>
      </c>
      <c r="Q196" s="13">
        <f t="shared" si="175"/>
        <v>48.407643312101911</v>
      </c>
      <c r="R196" s="13">
        <f t="shared" si="176"/>
        <v>91.983126929442463</v>
      </c>
      <c r="S196" s="13">
        <f t="shared" si="315"/>
        <v>10.959949924401371</v>
      </c>
      <c r="T196" s="43">
        <v>32</v>
      </c>
      <c r="U196" s="43">
        <v>158</v>
      </c>
      <c r="V196" s="4">
        <v>224212</v>
      </c>
      <c r="W196" s="4">
        <v>123500</v>
      </c>
      <c r="X196" s="4">
        <v>105083</v>
      </c>
      <c r="Y196" s="4">
        <v>55081</v>
      </c>
      <c r="Z196" s="4">
        <v>62659</v>
      </c>
      <c r="AA196" s="4">
        <v>127457</v>
      </c>
      <c r="AB196" s="4">
        <v>190972</v>
      </c>
      <c r="AC196" s="4">
        <v>239180</v>
      </c>
      <c r="AD196" s="13">
        <f t="shared" si="316"/>
        <v>11.88243816551784</v>
      </c>
      <c r="AE196" s="13">
        <f t="shared" si="317"/>
        <v>8.9411074444214798</v>
      </c>
      <c r="AF196" s="13">
        <f t="shared" si="318"/>
        <v>8.104119216459301</v>
      </c>
      <c r="AG196" s="13">
        <f t="shared" si="319"/>
        <v>5.2560221521393657</v>
      </c>
      <c r="AH196" s="13">
        <f t="shared" si="320"/>
        <v>6.1390351295589802</v>
      </c>
      <c r="AI196" s="13">
        <f t="shared" si="321"/>
        <v>9.9924081811633307</v>
      </c>
      <c r="AJ196" s="13">
        <f t="shared" si="322"/>
        <v>11.431726533156807</v>
      </c>
      <c r="AK196" s="15">
        <f t="shared" si="221"/>
        <v>187.75630000000001</v>
      </c>
      <c r="AL196" s="13">
        <f t="shared" si="280"/>
        <v>93.996571619700646</v>
      </c>
      <c r="AM196" s="13">
        <f t="shared" si="323"/>
        <v>12.21600666045698</v>
      </c>
      <c r="AN196" s="17">
        <f t="shared" si="222"/>
        <v>107.08716510416667</v>
      </c>
      <c r="AO196" s="13">
        <f t="shared" si="281"/>
        <v>89.760677678474323</v>
      </c>
      <c r="AP196" s="13">
        <f t="shared" si="324"/>
        <v>9.8972878571966536</v>
      </c>
      <c r="AQ196" s="10" t="s">
        <v>238</v>
      </c>
      <c r="AR196" s="10" t="s">
        <v>235</v>
      </c>
      <c r="AS196">
        <v>167.25</v>
      </c>
    </row>
    <row r="197" spans="1:45" ht="13" customHeight="1">
      <c r="A197" s="7" t="s">
        <v>164</v>
      </c>
      <c r="B197" s="7" t="s">
        <v>85</v>
      </c>
      <c r="C197" s="4">
        <v>4.0371510856103301</v>
      </c>
      <c r="D197" s="4">
        <f t="shared" ref="D197:D199" si="329">POWER(10,C197)</f>
        <v>10893.089843749918</v>
      </c>
      <c r="E197" s="13">
        <f t="shared" si="163"/>
        <v>8.551075527343686</v>
      </c>
      <c r="F197" s="13">
        <f t="shared" si="164"/>
        <v>-58.599932331704153</v>
      </c>
      <c r="G197" s="13">
        <f t="shared" si="313"/>
        <v>-2.0030299768540747</v>
      </c>
      <c r="H197" s="4">
        <v>4.1444769085206197</v>
      </c>
      <c r="I197" s="9">
        <f t="shared" ref="I197:I199" si="330">POWER(10,H197)</f>
        <v>13946.874999999894</v>
      </c>
      <c r="J197" s="13">
        <f t="shared" si="161"/>
        <v>10.948296874999919</v>
      </c>
      <c r="K197" s="13">
        <f t="shared" si="162"/>
        <v>-28.102116339443018</v>
      </c>
      <c r="L197" s="13">
        <f t="shared" si="314"/>
        <v>-0.92977174775117977</v>
      </c>
      <c r="M197" s="3">
        <v>-637</v>
      </c>
      <c r="N197" s="3">
        <v>-489</v>
      </c>
      <c r="O197" s="3">
        <f t="shared" si="181"/>
        <v>148</v>
      </c>
      <c r="P197" s="13">
        <v>0.94</v>
      </c>
      <c r="Q197" s="13">
        <f t="shared" si="175"/>
        <v>1197.4522292993629</v>
      </c>
      <c r="R197" s="13">
        <f t="shared" si="176"/>
        <v>-98.312123324317909</v>
      </c>
      <c r="S197" s="13">
        <f t="shared" si="315"/>
        <v>-2.9734926454275126</v>
      </c>
      <c r="T197" s="43">
        <v>196</v>
      </c>
      <c r="U197" s="43">
        <v>167</v>
      </c>
      <c r="V197" s="4">
        <v>16752</v>
      </c>
      <c r="W197" s="4">
        <v>7802</v>
      </c>
      <c r="X197" s="4">
        <v>14903</v>
      </c>
      <c r="Y197" s="4">
        <v>17739</v>
      </c>
      <c r="Z197" s="4">
        <v>18267</v>
      </c>
      <c r="AA197" s="4">
        <v>10339</v>
      </c>
      <c r="AB197" s="4">
        <v>9889</v>
      </c>
      <c r="AC197" s="4">
        <v>9920</v>
      </c>
      <c r="AD197" s="13">
        <f t="shared" si="316"/>
        <v>0.6165162822832051</v>
      </c>
      <c r="AE197" s="13">
        <f t="shared" si="317"/>
        <v>-3.0535026717776392</v>
      </c>
      <c r="AF197" s="13">
        <f t="shared" si="318"/>
        <v>-0.37846839805469984</v>
      </c>
      <c r="AG197" s="13">
        <f t="shared" si="319"/>
        <v>0.33529532624878283</v>
      </c>
      <c r="AH197" s="13">
        <f t="shared" si="320"/>
        <v>0.78587282208134801</v>
      </c>
      <c r="AI197" s="13">
        <f t="shared" si="321"/>
        <v>-0.91644338680447857</v>
      </c>
      <c r="AJ197" s="13">
        <f t="shared" si="322"/>
        <v>-1.426446661667327</v>
      </c>
      <c r="AK197" s="15">
        <f t="shared" si="221"/>
        <v>7.7872000000000003</v>
      </c>
      <c r="AL197" s="13">
        <f t="shared" si="280"/>
        <v>-44.747983870967744</v>
      </c>
      <c r="AM197" s="13">
        <f t="shared" si="323"/>
        <v>-1.6061252335069065</v>
      </c>
      <c r="AN197" s="17">
        <f t="shared" si="222"/>
        <v>9.6080729166666661</v>
      </c>
      <c r="AO197" s="13">
        <f t="shared" si="281"/>
        <v>-14.122780864615802</v>
      </c>
      <c r="AP197" s="13">
        <f t="shared" si="324"/>
        <v>-0.57372345700102501</v>
      </c>
      <c r="AQ197" s="10" t="s">
        <v>240</v>
      </c>
      <c r="AR197" s="10" t="s">
        <v>236</v>
      </c>
      <c r="AS197">
        <v>428.14</v>
      </c>
    </row>
    <row r="198" spans="1:45" ht="14">
      <c r="A198" s="7" t="s">
        <v>164</v>
      </c>
      <c r="B198" s="7" t="s">
        <v>85</v>
      </c>
      <c r="C198" s="4">
        <v>4.06416620199579</v>
      </c>
      <c r="D198" s="4">
        <f t="shared" si="329"/>
        <v>11592.20898437498</v>
      </c>
      <c r="E198" s="13">
        <f t="shared" si="163"/>
        <v>9.0998840527343603</v>
      </c>
      <c r="F198" s="13">
        <f t="shared" si="164"/>
        <v>-49.034865954416752</v>
      </c>
      <c r="G198" s="13">
        <f t="shared" si="313"/>
        <v>-1.7328788129994788</v>
      </c>
      <c r="H198" s="4">
        <v>4.3019512574443999</v>
      </c>
      <c r="I198" s="9">
        <f t="shared" si="330"/>
        <v>20042.470703124705</v>
      </c>
      <c r="J198" s="13">
        <f t="shared" si="161"/>
        <v>15.733339501952894</v>
      </c>
      <c r="K198" s="13">
        <f t="shared" si="162"/>
        <v>10.858085797620065</v>
      </c>
      <c r="L198" s="13">
        <f t="shared" si="314"/>
        <v>0.64497174148661973</v>
      </c>
      <c r="M198" s="3">
        <v>-577</v>
      </c>
      <c r="N198" s="3">
        <v>-491</v>
      </c>
      <c r="O198" s="3">
        <f t="shared" si="181"/>
        <v>86</v>
      </c>
      <c r="P198" s="13">
        <v>0.875</v>
      </c>
      <c r="Q198" s="13">
        <f t="shared" si="175"/>
        <v>1114.6496815286623</v>
      </c>
      <c r="R198" s="13">
        <f t="shared" si="176"/>
        <v>-84.599050966785299</v>
      </c>
      <c r="S198" s="13">
        <f t="shared" si="315"/>
        <v>-2.6622946396536591</v>
      </c>
      <c r="T198" s="43">
        <v>123</v>
      </c>
      <c r="U198" s="43">
        <v>126</v>
      </c>
      <c r="V198" s="11">
        <v>12492</v>
      </c>
      <c r="W198" s="4">
        <v>9309</v>
      </c>
      <c r="X198" s="4">
        <v>11797</v>
      </c>
      <c r="Y198" s="4">
        <v>22381</v>
      </c>
      <c r="Z198" s="4">
        <v>18288</v>
      </c>
      <c r="AA198" s="4">
        <v>12319</v>
      </c>
      <c r="AB198" s="4">
        <v>10224</v>
      </c>
      <c r="AC198" s="4">
        <v>10293</v>
      </c>
      <c r="AD198" s="13">
        <f t="shared" si="316"/>
        <v>-0.65783060548285577</v>
      </c>
      <c r="AE198" s="13">
        <f t="shared" si="317"/>
        <v>-2.2865318284970835</v>
      </c>
      <c r="AF198" s="13">
        <f t="shared" si="318"/>
        <v>-1.3934896184129375</v>
      </c>
      <c r="AG198" s="13">
        <f t="shared" si="319"/>
        <v>1.3447988613773796</v>
      </c>
      <c r="AH198" s="13">
        <f t="shared" si="320"/>
        <v>0.79086266485156376</v>
      </c>
      <c r="AI198" s="13">
        <f t="shared" si="321"/>
        <v>-0.15547418784452477</v>
      </c>
      <c r="AJ198" s="13">
        <f t="shared" si="322"/>
        <v>-1.2817620224386159</v>
      </c>
      <c r="AK198" s="15">
        <f t="shared" si="221"/>
        <v>8.0800049999999999</v>
      </c>
      <c r="AL198" s="13">
        <f t="shared" si="280"/>
        <v>-39.502574565238511</v>
      </c>
      <c r="AM198" s="13">
        <f t="shared" si="323"/>
        <v>-1.4458222272903352</v>
      </c>
      <c r="AN198" s="17">
        <f t="shared" si="222"/>
        <v>10.30628953125</v>
      </c>
      <c r="AO198" s="13">
        <f t="shared" si="281"/>
        <v>-6.3913444965106425</v>
      </c>
      <c r="AP198" s="13">
        <f t="shared" si="324"/>
        <v>-0.26906297223049591</v>
      </c>
      <c r="AQ198" s="10" t="s">
        <v>240</v>
      </c>
      <c r="AR198" s="10" t="s">
        <v>236</v>
      </c>
      <c r="AS198">
        <v>428.14</v>
      </c>
    </row>
    <row r="199" spans="1:45" ht="14">
      <c r="A199" s="7" t="s">
        <v>164</v>
      </c>
      <c r="B199" s="7" t="s">
        <v>85</v>
      </c>
      <c r="C199" s="4">
        <v>4.0775124709594399</v>
      </c>
      <c r="D199" s="4">
        <f t="shared" si="329"/>
        <v>11953.978515624949</v>
      </c>
      <c r="E199" s="13">
        <f t="shared" si="163"/>
        <v>9.3838731347655848</v>
      </c>
      <c r="F199" s="13">
        <f t="shared" si="164"/>
        <v>-44.524545517939671</v>
      </c>
      <c r="G199" s="13">
        <f t="shared" si="313"/>
        <v>-1.5994161233629833</v>
      </c>
      <c r="H199" s="4">
        <v>4.2994357485519501</v>
      </c>
      <c r="I199" s="9">
        <f t="shared" si="330"/>
        <v>19926.716796874694</v>
      </c>
      <c r="J199" s="13">
        <f t="shared" si="161"/>
        <v>15.642472685546636</v>
      </c>
      <c r="K199" s="13">
        <f t="shared" si="162"/>
        <v>10.340262169939097</v>
      </c>
      <c r="L199" s="13">
        <f t="shared" si="314"/>
        <v>0.6198166525621206</v>
      </c>
      <c r="M199" s="3">
        <v>-596</v>
      </c>
      <c r="N199" s="3">
        <v>-495</v>
      </c>
      <c r="O199" s="3">
        <f t="shared" si="181"/>
        <v>101</v>
      </c>
      <c r="P199" s="13">
        <v>0.91</v>
      </c>
      <c r="Q199" s="13">
        <f t="shared" si="175"/>
        <v>1159.2356687898089</v>
      </c>
      <c r="R199" s="13">
        <f t="shared" si="176"/>
        <v>-91.983013005456726</v>
      </c>
      <c r="S199" s="13">
        <f t="shared" si="315"/>
        <v>-2.8326280326414621</v>
      </c>
      <c r="T199" s="43">
        <v>196</v>
      </c>
      <c r="U199" s="43">
        <v>161</v>
      </c>
      <c r="V199" s="4">
        <v>9232</v>
      </c>
      <c r="W199" s="4">
        <v>12266</v>
      </c>
      <c r="X199" s="4">
        <v>19306</v>
      </c>
      <c r="Y199" s="4">
        <v>25746</v>
      </c>
      <c r="Z199" s="4">
        <v>17729</v>
      </c>
      <c r="AA199" s="4">
        <v>11819</v>
      </c>
      <c r="AB199" s="4">
        <v>11128</v>
      </c>
      <c r="AC199" s="4">
        <v>10259</v>
      </c>
      <c r="AD199" s="13">
        <f t="shared" si="316"/>
        <v>-1.9711924029479033</v>
      </c>
      <c r="AE199" s="13">
        <f t="shared" si="317"/>
        <v>-1.0885325280206235</v>
      </c>
      <c r="AF199" s="13">
        <f t="shared" si="318"/>
        <v>0.74571760596038428</v>
      </c>
      <c r="AG199" s="13">
        <f t="shared" si="319"/>
        <v>1.9531016382242568</v>
      </c>
      <c r="AH199" s="13">
        <f t="shared" si="320"/>
        <v>0.65604293449429851</v>
      </c>
      <c r="AI199" s="13">
        <f t="shared" si="321"/>
        <v>-0.3354214135770448</v>
      </c>
      <c r="AJ199" s="13">
        <f t="shared" si="322"/>
        <v>-0.9137992607419656</v>
      </c>
      <c r="AK199" s="15">
        <f t="shared" si="221"/>
        <v>8.0533150000000013</v>
      </c>
      <c r="AL199" s="13">
        <f t="shared" si="280"/>
        <v>-39.964908860512693</v>
      </c>
      <c r="AM199" s="13">
        <f t="shared" si="323"/>
        <v>-1.460191656888892</v>
      </c>
      <c r="AN199" s="17">
        <f t="shared" si="222"/>
        <v>10.811576041666667</v>
      </c>
      <c r="AO199" s="13">
        <f t="shared" si="281"/>
        <v>-1.4190711672567691</v>
      </c>
      <c r="AP199" s="13">
        <f t="shared" si="324"/>
        <v>-6.11962880323507E-2</v>
      </c>
      <c r="AQ199" s="10" t="s">
        <v>240</v>
      </c>
      <c r="AR199" s="10" t="s">
        <v>236</v>
      </c>
      <c r="AS199">
        <v>428.14</v>
      </c>
    </row>
    <row r="200" spans="1:45" ht="13" customHeight="1">
      <c r="A200" s="7" t="s">
        <v>206</v>
      </c>
      <c r="B200" s="7" t="s">
        <v>86</v>
      </c>
      <c r="C200" s="4">
        <v>4.2257054472031896</v>
      </c>
      <c r="D200" s="4">
        <f t="shared" ref="D200:D202" si="331">POWER(10,C200)</f>
        <v>16815.33203124968</v>
      </c>
      <c r="E200" s="13">
        <f t="shared" si="163"/>
        <v>13.200035644530999</v>
      </c>
      <c r="F200" s="13">
        <f t="shared" si="164"/>
        <v>-2.7421468033608454</v>
      </c>
      <c r="G200" s="13">
        <f t="shared" si="313"/>
        <v>-0.11748636092548335</v>
      </c>
      <c r="H200" s="4">
        <v>4.4845468408260798</v>
      </c>
      <c r="I200" s="9">
        <f t="shared" ref="I200:I202" si="332">POWER(10,H200)</f>
        <v>30517.351562499993</v>
      </c>
      <c r="J200" s="13">
        <f t="shared" ref="J200:J220" si="333">I200*0.785/1000</f>
        <v>23.956120976562495</v>
      </c>
      <c r="K200" s="13">
        <f t="shared" ref="K200:K220" si="334">(1-14.025/J200)*100</f>
        <v>41.455463454532648</v>
      </c>
      <c r="L200" s="13">
        <f t="shared" si="314"/>
        <v>2.4709275753034183</v>
      </c>
      <c r="M200" s="3">
        <v>-630</v>
      </c>
      <c r="N200" s="3">
        <v>-436</v>
      </c>
      <c r="O200" s="3">
        <f t="shared" si="181"/>
        <v>194</v>
      </c>
      <c r="P200" s="13">
        <v>0.47599999999999998</v>
      </c>
      <c r="Q200" s="13">
        <f t="shared" si="175"/>
        <v>606.3694267515923</v>
      </c>
      <c r="R200" s="13">
        <f t="shared" si="176"/>
        <v>-0.42188372593119361</v>
      </c>
      <c r="S200" s="13">
        <f t="shared" si="315"/>
        <v>-1.8283636635457949E-2</v>
      </c>
      <c r="T200" s="43">
        <v>172</v>
      </c>
      <c r="U200" s="43">
        <v>166</v>
      </c>
      <c r="V200" s="4">
        <v>11148</v>
      </c>
      <c r="W200" s="4">
        <v>18506</v>
      </c>
      <c r="X200" s="4">
        <v>29204</v>
      </c>
      <c r="Y200" s="4">
        <v>25449</v>
      </c>
      <c r="Z200" s="4">
        <v>19551</v>
      </c>
      <c r="AA200" s="4">
        <v>15203</v>
      </c>
      <c r="AB200" s="4">
        <v>14134</v>
      </c>
      <c r="AC200" s="4">
        <v>14614</v>
      </c>
      <c r="AD200" s="13">
        <f t="shared" si="316"/>
        <v>-1.1521807606517995</v>
      </c>
      <c r="AE200" s="13">
        <f t="shared" si="317"/>
        <v>0.69756344677907944</v>
      </c>
      <c r="AF200" s="13">
        <f t="shared" si="318"/>
        <v>2.5432179851070074</v>
      </c>
      <c r="AG200" s="13">
        <f t="shared" si="319"/>
        <v>1.9027112062743647</v>
      </c>
      <c r="AH200" s="13">
        <f t="shared" si="320"/>
        <v>1.0808902914921172</v>
      </c>
      <c r="AI200" s="13">
        <f t="shared" si="321"/>
        <v>0.7580642149657888</v>
      </c>
      <c r="AJ200" s="13">
        <f t="shared" si="322"/>
        <v>0.12468043920517219</v>
      </c>
      <c r="AK200" s="15">
        <f t="shared" si="221"/>
        <v>11.47199</v>
      </c>
      <c r="AL200" s="13">
        <f t="shared" si="280"/>
        <v>1.7449021486246052</v>
      </c>
      <c r="AM200" s="13">
        <f t="shared" si="323"/>
        <v>7.644907504328971E-2</v>
      </c>
      <c r="AN200" s="17">
        <f t="shared" si="222"/>
        <v>13.234184166666667</v>
      </c>
      <c r="AO200" s="13">
        <f t="shared" si="281"/>
        <v>17.146384983685881</v>
      </c>
      <c r="AP200" s="13">
        <f t="shared" si="324"/>
        <v>0.81688537970214803</v>
      </c>
      <c r="AQ200" s="10" t="s">
        <v>241</v>
      </c>
      <c r="AR200" s="10" t="s">
        <v>236</v>
      </c>
      <c r="AS200">
        <v>288.38</v>
      </c>
    </row>
    <row r="201" spans="1:45" ht="14">
      <c r="A201" s="7" t="s">
        <v>206</v>
      </c>
      <c r="B201" s="7" t="s">
        <v>86</v>
      </c>
      <c r="C201" s="4">
        <v>3.9988601364825298</v>
      </c>
      <c r="D201" s="4">
        <f t="shared" si="331"/>
        <v>9973.7880859373763</v>
      </c>
      <c r="E201" s="13">
        <f t="shared" si="163"/>
        <v>7.8294236474608407</v>
      </c>
      <c r="F201" s="13">
        <f t="shared" si="164"/>
        <v>-73.218369712287696</v>
      </c>
      <c r="G201" s="13">
        <f t="shared" si="313"/>
        <v>-2.3859394681320816</v>
      </c>
      <c r="H201" s="4">
        <v>4.1940135153859597</v>
      </c>
      <c r="I201" s="9">
        <f t="shared" si="332"/>
        <v>15631.962890624933</v>
      </c>
      <c r="J201" s="13">
        <f t="shared" si="333"/>
        <v>12.271090869140574</v>
      </c>
      <c r="K201" s="13">
        <f t="shared" si="334"/>
        <v>-14.29301721878835</v>
      </c>
      <c r="L201" s="13">
        <f t="shared" si="314"/>
        <v>-0.43440567909778038</v>
      </c>
      <c r="M201" s="3">
        <v>-560</v>
      </c>
      <c r="N201" s="3">
        <v>-477</v>
      </c>
      <c r="O201" s="3">
        <f t="shared" si="181"/>
        <v>83</v>
      </c>
      <c r="P201" s="13">
        <v>0.51</v>
      </c>
      <c r="Q201" s="13">
        <f t="shared" si="175"/>
        <v>649.68152866242031</v>
      </c>
      <c r="R201" s="13">
        <f t="shared" si="176"/>
        <v>-7.5948754206405678</v>
      </c>
      <c r="S201" s="13">
        <f t="shared" si="315"/>
        <v>-0.31791587040988994</v>
      </c>
      <c r="T201" s="43">
        <v>125</v>
      </c>
      <c r="U201" s="43">
        <v>142</v>
      </c>
      <c r="V201" s="4">
        <v>7446</v>
      </c>
      <c r="W201" s="4">
        <v>14694</v>
      </c>
      <c r="X201" s="4">
        <v>225110</v>
      </c>
      <c r="Y201" s="4">
        <v>16720</v>
      </c>
      <c r="Z201" s="4">
        <v>10463</v>
      </c>
      <c r="AA201" s="4">
        <v>8232</v>
      </c>
      <c r="AB201" s="4">
        <v>7387</v>
      </c>
      <c r="AC201" s="4">
        <v>10866</v>
      </c>
      <c r="AD201" s="13">
        <f t="shared" si="316"/>
        <v>-2.9049200422407306</v>
      </c>
      <c r="AE201" s="13">
        <f t="shared" si="317"/>
        <v>-0.30416177645178749</v>
      </c>
      <c r="AF201" s="13">
        <f t="shared" si="318"/>
        <v>11.412742467160598</v>
      </c>
      <c r="AG201" s="13">
        <f t="shared" si="319"/>
        <v>7.8366720091077716E-2</v>
      </c>
      <c r="AH201" s="13">
        <f t="shared" si="320"/>
        <v>-1.6342372124670146</v>
      </c>
      <c r="AI201" s="13">
        <f t="shared" si="321"/>
        <v>-1.906175122522777</v>
      </c>
      <c r="AJ201" s="13">
        <f t="shared" si="322"/>
        <v>-2.693289440371998</v>
      </c>
      <c r="AK201" s="15">
        <f t="shared" ref="AK201:AK220" si="335">AC201*0.785/1000</f>
        <v>8.5298099999999994</v>
      </c>
      <c r="AL201" s="13">
        <f t="shared" si="280"/>
        <v>-32.146143935210759</v>
      </c>
      <c r="AM201" s="13">
        <f t="shared" si="323"/>
        <v>-1.210544948071673</v>
      </c>
      <c r="AN201" s="17">
        <f t="shared" ref="AN201:AN220" si="336">(0.785/24000)*(AVERAGE(V201:W201)*0.5+AVERAGE(W201:X201)*1+AVERAGE(X201:Y201)*1+AVERAGE(Y201:Z201)*3+AVERAGE(Z201:AA201)*6+AVERAGE(AA201:AB201)*6+AVERAGE(AB201:AC201)*6)</f>
        <v>14.549566145833333</v>
      </c>
      <c r="AO201" s="13">
        <f t="shared" si="281"/>
        <v>24.636928069912734</v>
      </c>
      <c r="AP201" s="13">
        <f t="shared" si="324"/>
        <v>1.2284140725479227</v>
      </c>
      <c r="AQ201" s="10" t="s">
        <v>241</v>
      </c>
      <c r="AR201" s="10" t="s">
        <v>236</v>
      </c>
      <c r="AS201">
        <v>288.38</v>
      </c>
    </row>
    <row r="202" spans="1:45" ht="14">
      <c r="A202" s="7" t="s">
        <v>206</v>
      </c>
      <c r="B202" s="7" t="s">
        <v>86</v>
      </c>
      <c r="C202" s="4">
        <v>4.3295161786170704</v>
      </c>
      <c r="D202" s="4">
        <f t="shared" si="331"/>
        <v>21355.816406249902</v>
      </c>
      <c r="E202" s="13">
        <f t="shared" ref="E202:E220" si="337">D202*0.785/1000</f>
        <v>16.764315878906174</v>
      </c>
      <c r="F202" s="13">
        <f t="shared" ref="F202:F220" si="338">(1-13.562/E202)*100</f>
        <v>19.101977689024064</v>
      </c>
      <c r="G202" s="13">
        <f t="shared" si="313"/>
        <v>0.92062095321332249</v>
      </c>
      <c r="H202" s="4">
        <v>4.5964717110734297</v>
      </c>
      <c r="I202" s="9">
        <f t="shared" si="332"/>
        <v>39488.597656249964</v>
      </c>
      <c r="J202" s="13">
        <f t="shared" si="333"/>
        <v>30.998549160156223</v>
      </c>
      <c r="K202" s="13">
        <f t="shared" si="334"/>
        <v>54.755947036298913</v>
      </c>
      <c r="L202" s="13">
        <f t="shared" si="314"/>
        <v>3.5901762777769193</v>
      </c>
      <c r="M202" s="3">
        <v>-580</v>
      </c>
      <c r="N202" s="3">
        <v>-484</v>
      </c>
      <c r="O202" s="3">
        <f t="shared" si="181"/>
        <v>96</v>
      </c>
      <c r="P202" s="13">
        <v>0.29299999999999998</v>
      </c>
      <c r="Q202" s="13">
        <f t="shared" si="175"/>
        <v>373.24840764331208</v>
      </c>
      <c r="R202" s="13">
        <f t="shared" si="176"/>
        <v>38.185689219122175</v>
      </c>
      <c r="S202" s="13">
        <f t="shared" si="315"/>
        <v>2.0891096870283792</v>
      </c>
      <c r="T202" s="43">
        <v>151</v>
      </c>
      <c r="U202" s="43">
        <v>134</v>
      </c>
      <c r="V202" s="4">
        <v>22429</v>
      </c>
      <c r="W202" s="4">
        <v>31640</v>
      </c>
      <c r="X202" s="4">
        <v>28366</v>
      </c>
      <c r="Y202" s="4">
        <v>38087</v>
      </c>
      <c r="Z202" s="4">
        <v>21691</v>
      </c>
      <c r="AA202" s="4">
        <v>14515</v>
      </c>
      <c r="AB202" s="4">
        <v>20226</v>
      </c>
      <c r="AC202" s="4">
        <v>17792</v>
      </c>
      <c r="AD202" s="13">
        <f t="shared" si="316"/>
        <v>1.8839487482991848</v>
      </c>
      <c r="AE202" s="13">
        <f t="shared" si="317"/>
        <v>3.0268026167210249</v>
      </c>
      <c r="AF202" s="13">
        <f t="shared" si="318"/>
        <v>2.4167755730111047</v>
      </c>
      <c r="AG202" s="13">
        <f t="shared" si="319"/>
        <v>3.6537716482627158</v>
      </c>
      <c r="AH202" s="13">
        <f t="shared" si="320"/>
        <v>1.5319962778428016</v>
      </c>
      <c r="AI202" s="13">
        <f t="shared" si="321"/>
        <v>0.55694166161038317</v>
      </c>
      <c r="AJ202" s="13">
        <f t="shared" si="322"/>
        <v>1.6811295984642904</v>
      </c>
      <c r="AK202" s="15">
        <f t="shared" si="335"/>
        <v>13.96672</v>
      </c>
      <c r="AL202" s="13">
        <f t="shared" si="280"/>
        <v>19.295188848920862</v>
      </c>
      <c r="AM202" s="13">
        <f t="shared" si="323"/>
        <v>0.93100574397094116</v>
      </c>
      <c r="AN202" s="17">
        <f t="shared" si="336"/>
        <v>16.135307031250001</v>
      </c>
      <c r="AO202" s="13">
        <f t="shared" si="281"/>
        <v>32.043437544983966</v>
      </c>
      <c r="AP202" s="13">
        <f t="shared" si="324"/>
        <v>1.6776859779263482</v>
      </c>
      <c r="AQ202" s="10" t="s">
        <v>241</v>
      </c>
      <c r="AR202" s="10" t="s">
        <v>236</v>
      </c>
      <c r="AS202">
        <v>288.38</v>
      </c>
    </row>
    <row r="203" spans="1:45" ht="13" customHeight="1">
      <c r="A203" s="7" t="s">
        <v>144</v>
      </c>
      <c r="B203" s="7" t="s">
        <v>87</v>
      </c>
      <c r="C203" s="4">
        <v>5.2835207944406299</v>
      </c>
      <c r="D203" s="4">
        <f t="shared" ref="D203:D205" si="339">POWER(10,C203)</f>
        <v>192097.09374999889</v>
      </c>
      <c r="E203" s="13">
        <f t="shared" si="337"/>
        <v>150.79621859374913</v>
      </c>
      <c r="F203" s="13">
        <f t="shared" si="338"/>
        <v>91.006405779619342</v>
      </c>
      <c r="G203" s="13">
        <f t="shared" si="313"/>
        <v>10.460667111448924</v>
      </c>
      <c r="H203" s="4">
        <v>5.37392656690034</v>
      </c>
      <c r="I203" s="9">
        <f t="shared" ref="I203:I205" si="340">POWER(10,H203)</f>
        <v>236551.96874999776</v>
      </c>
      <c r="J203" s="13">
        <f t="shared" si="333"/>
        <v>185.69329546874826</v>
      </c>
      <c r="K203" s="13">
        <f t="shared" si="334"/>
        <v>92.447223275026431</v>
      </c>
      <c r="L203" s="13">
        <f t="shared" si="314"/>
        <v>11.364724836046026</v>
      </c>
      <c r="M203" s="3">
        <v>-600</v>
      </c>
      <c r="N203" s="3">
        <v>-446</v>
      </c>
      <c r="O203" s="3">
        <f t="shared" si="181"/>
        <v>154</v>
      </c>
      <c r="P203" s="13">
        <v>0.22800000000000001</v>
      </c>
      <c r="Q203" s="13">
        <f t="shared" si="175"/>
        <v>290.44585987261144</v>
      </c>
      <c r="R203" s="13">
        <f t="shared" si="176"/>
        <v>51.898761576654806</v>
      </c>
      <c r="S203" s="13">
        <f t="shared" si="315"/>
        <v>3.1784374205649355</v>
      </c>
      <c r="T203" s="43">
        <v>210</v>
      </c>
      <c r="U203" s="43">
        <v>196</v>
      </c>
      <c r="V203" s="4">
        <v>114600</v>
      </c>
      <c r="W203" s="4">
        <v>147200</v>
      </c>
      <c r="X203" s="4">
        <v>197300</v>
      </c>
      <c r="Y203" s="4">
        <v>454409</v>
      </c>
      <c r="Z203" s="4">
        <v>314394</v>
      </c>
      <c r="AA203" s="4">
        <v>236300</v>
      </c>
      <c r="AB203" s="4">
        <v>101800</v>
      </c>
      <c r="AC203" s="4">
        <v>116000</v>
      </c>
      <c r="AD203" s="13">
        <f t="shared" si="316"/>
        <v>8.9676958152492467</v>
      </c>
      <c r="AE203" s="13">
        <f t="shared" si="317"/>
        <v>9.7035159684794348</v>
      </c>
      <c r="AF203" s="13">
        <f t="shared" si="318"/>
        <v>10.840065439941418</v>
      </c>
      <c r="AG203" s="13">
        <f t="shared" si="319"/>
        <v>14.420473233072011</v>
      </c>
      <c r="AH203" s="13">
        <f t="shared" si="320"/>
        <v>13.143943026596027</v>
      </c>
      <c r="AI203" s="13">
        <f t="shared" si="321"/>
        <v>12.673408476257148</v>
      </c>
      <c r="AJ203" s="13">
        <f t="shared" si="322"/>
        <v>8.6995073494255344</v>
      </c>
      <c r="AK203" s="15">
        <f t="shared" si="335"/>
        <v>91.06</v>
      </c>
      <c r="AL203" s="13">
        <f t="shared" si="280"/>
        <v>87.62155172413793</v>
      </c>
      <c r="AM203" s="13">
        <f t="shared" si="323"/>
        <v>9.0733379372204919</v>
      </c>
      <c r="AN203" s="17">
        <f t="shared" si="336"/>
        <v>164.73686187499999</v>
      </c>
      <c r="AO203" s="13">
        <f t="shared" si="281"/>
        <v>93.343930511241567</v>
      </c>
      <c r="AP203" s="13">
        <f t="shared" si="324"/>
        <v>11.767821526988813</v>
      </c>
      <c r="AQ203" s="10" t="s">
        <v>238</v>
      </c>
      <c r="AR203" s="10" t="s">
        <v>235</v>
      </c>
      <c r="AS203">
        <v>226.43</v>
      </c>
    </row>
    <row r="204" spans="1:45" ht="14">
      <c r="A204" s="7" t="s">
        <v>144</v>
      </c>
      <c r="B204" s="7" t="s">
        <v>87</v>
      </c>
      <c r="C204" s="4">
        <v>4.8314044094019399</v>
      </c>
      <c r="D204" s="4">
        <f t="shared" si="339"/>
        <v>67827.281249998938</v>
      </c>
      <c r="E204" s="13">
        <f t="shared" si="337"/>
        <v>53.244415781249167</v>
      </c>
      <c r="F204" s="13">
        <f t="shared" si="338"/>
        <v>74.528784284687248</v>
      </c>
      <c r="G204" s="13">
        <f t="shared" si="313"/>
        <v>5.9395032610620211</v>
      </c>
      <c r="H204" s="4">
        <v>5.1886219362166397</v>
      </c>
      <c r="I204" s="9">
        <f t="shared" si="340"/>
        <v>154390.98437499898</v>
      </c>
      <c r="J204" s="13">
        <f t="shared" si="333"/>
        <v>121.19692273437421</v>
      </c>
      <c r="K204" s="13">
        <f t="shared" si="334"/>
        <v>88.427924006999405</v>
      </c>
      <c r="L204" s="13">
        <f t="shared" si="314"/>
        <v>9.5116785292090196</v>
      </c>
      <c r="M204" s="3">
        <v>-586</v>
      </c>
      <c r="N204" s="3">
        <v>-476</v>
      </c>
      <c r="O204" s="3">
        <f t="shared" si="181"/>
        <v>110</v>
      </c>
      <c r="P204" s="13">
        <v>0.70699999999999996</v>
      </c>
      <c r="Q204" s="13">
        <f t="shared" si="175"/>
        <v>900.63694267515916</v>
      </c>
      <c r="R204" s="13">
        <f t="shared" si="176"/>
        <v>-49.156033181162528</v>
      </c>
      <c r="S204" s="13">
        <f t="shared" si="315"/>
        <v>-1.7364082473995204</v>
      </c>
      <c r="T204" s="43">
        <v>198</v>
      </c>
      <c r="U204" s="43">
        <v>201</v>
      </c>
      <c r="V204" s="4">
        <v>53140</v>
      </c>
      <c r="W204" s="4">
        <v>94510</v>
      </c>
      <c r="X204" s="4">
        <v>142600</v>
      </c>
      <c r="Y204" s="4">
        <v>129800</v>
      </c>
      <c r="Z204" s="4">
        <v>59950</v>
      </c>
      <c r="AA204" s="4">
        <v>58560</v>
      </c>
      <c r="AB204" s="4">
        <v>70290</v>
      </c>
      <c r="AC204" s="4">
        <v>61450</v>
      </c>
      <c r="AD204" s="13">
        <f t="shared" si="316"/>
        <v>5.6300651396781216</v>
      </c>
      <c r="AE204" s="13">
        <f t="shared" si="317"/>
        <v>7.7792155001233807</v>
      </c>
      <c r="AF204" s="13">
        <f t="shared" si="318"/>
        <v>9.4299898425779745</v>
      </c>
      <c r="AG204" s="13">
        <f t="shared" si="319"/>
        <v>8.9787509137046069</v>
      </c>
      <c r="AH204" s="13">
        <f t="shared" si="320"/>
        <v>5.9470924086881727</v>
      </c>
      <c r="AI204" s="13">
        <f t="shared" si="321"/>
        <v>6.6147819404368127</v>
      </c>
      <c r="AJ204" s="13">
        <f t="shared" si="322"/>
        <v>7.0909650025843876</v>
      </c>
      <c r="AK204" s="15">
        <f t="shared" si="335"/>
        <v>48.238250000000001</v>
      </c>
      <c r="AL204" s="13">
        <f t="shared" si="280"/>
        <v>76.633034987794957</v>
      </c>
      <c r="AM204" s="13">
        <f t="shared" si="323"/>
        <v>6.3139769171760349</v>
      </c>
      <c r="AN204" s="17">
        <f t="shared" si="336"/>
        <v>56.048754687500001</v>
      </c>
      <c r="AO204" s="13">
        <f t="shared" si="281"/>
        <v>80.43667506774166</v>
      </c>
      <c r="AP204" s="13">
        <f t="shared" si="324"/>
        <v>7.0855733170504775</v>
      </c>
      <c r="AQ204" s="10" t="s">
        <v>238</v>
      </c>
      <c r="AR204" s="10" t="s">
        <v>235</v>
      </c>
      <c r="AS204">
        <v>226.43</v>
      </c>
    </row>
    <row r="205" spans="1:45" ht="14">
      <c r="A205" s="7" t="s">
        <v>144</v>
      </c>
      <c r="B205" s="7" t="s">
        <v>87</v>
      </c>
      <c r="C205" s="4">
        <v>5.2608162603608299</v>
      </c>
      <c r="D205" s="4">
        <f t="shared" si="339"/>
        <v>182312.42187499994</v>
      </c>
      <c r="E205" s="13">
        <f t="shared" si="337"/>
        <v>143.11525117187495</v>
      </c>
      <c r="F205" s="13">
        <f t="shared" si="338"/>
        <v>90.523721344196474</v>
      </c>
      <c r="G205" s="13">
        <f t="shared" si="313"/>
        <v>10.233621770650922</v>
      </c>
      <c r="H205" s="4">
        <v>5.2594374551367498</v>
      </c>
      <c r="I205" s="9">
        <f t="shared" si="340"/>
        <v>181734.53124999747</v>
      </c>
      <c r="J205" s="13">
        <f t="shared" si="333"/>
        <v>142.66160703124802</v>
      </c>
      <c r="K205" s="13">
        <f t="shared" si="334"/>
        <v>90.169043871118021</v>
      </c>
      <c r="L205" s="13">
        <f t="shared" si="314"/>
        <v>10.21983371841012</v>
      </c>
      <c r="M205" s="3">
        <v>-571</v>
      </c>
      <c r="N205" s="3">
        <v>-470</v>
      </c>
      <c r="O205" s="3">
        <f t="shared" si="181"/>
        <v>101</v>
      </c>
      <c r="P205" s="13">
        <v>0.44600000000000001</v>
      </c>
      <c r="Q205" s="13">
        <f t="shared" si="175"/>
        <v>568.15286624203816</v>
      </c>
      <c r="R205" s="13">
        <f t="shared" si="176"/>
        <v>5.907226592930015</v>
      </c>
      <c r="S205" s="13">
        <f t="shared" si="315"/>
        <v>0.26443730344805516</v>
      </c>
      <c r="T205" s="43">
        <v>216</v>
      </c>
      <c r="U205" s="43">
        <v>175</v>
      </c>
      <c r="V205" s="4">
        <v>95770</v>
      </c>
      <c r="W205" s="4">
        <v>131410</v>
      </c>
      <c r="X205" s="4">
        <v>173500</v>
      </c>
      <c r="Y205" s="4">
        <v>366300</v>
      </c>
      <c r="Z205" s="4">
        <v>115900</v>
      </c>
      <c r="AA205" s="4">
        <v>118400</v>
      </c>
      <c r="AB205" s="4">
        <v>121200</v>
      </c>
      <c r="AC205" s="4">
        <v>243000</v>
      </c>
      <c r="AD205" s="13">
        <f t="shared" si="316"/>
        <v>8.1881445131355424</v>
      </c>
      <c r="AE205" s="13">
        <f t="shared" si="317"/>
        <v>9.2107220214306231</v>
      </c>
      <c r="AF205" s="13">
        <f t="shared" si="318"/>
        <v>10.28178937868843</v>
      </c>
      <c r="AG205" s="13">
        <f t="shared" si="319"/>
        <v>13.484373175706549</v>
      </c>
      <c r="AH205" s="13">
        <f t="shared" si="320"/>
        <v>8.8100348939754589</v>
      </c>
      <c r="AI205" s="13">
        <f t="shared" si="321"/>
        <v>9.6722882838024677</v>
      </c>
      <c r="AJ205" s="13">
        <f t="shared" si="322"/>
        <v>9.4570557677208082</v>
      </c>
      <c r="AK205" s="15">
        <f t="shared" si="335"/>
        <v>190.755</v>
      </c>
      <c r="AL205" s="13">
        <f t="shared" si="280"/>
        <v>94.090946502057619</v>
      </c>
      <c r="AM205" s="13">
        <f t="shared" si="323"/>
        <v>12.284820780934428</v>
      </c>
      <c r="AN205" s="17">
        <f t="shared" si="336"/>
        <v>121.56869791666666</v>
      </c>
      <c r="AO205" s="13">
        <f t="shared" si="281"/>
        <v>90.980408453896317</v>
      </c>
      <c r="AP205" s="13">
        <f t="shared" si="324"/>
        <v>10.448131291198955</v>
      </c>
      <c r="AQ205" s="10" t="s">
        <v>238</v>
      </c>
      <c r="AR205" s="10" t="s">
        <v>235</v>
      </c>
      <c r="AS205">
        <v>226.43</v>
      </c>
    </row>
    <row r="206" spans="1:45" ht="13" customHeight="1">
      <c r="A206" s="7" t="s">
        <v>165</v>
      </c>
      <c r="B206" s="7" t="s">
        <v>88</v>
      </c>
      <c r="C206" s="4">
        <v>3.8078910204062799</v>
      </c>
      <c r="D206" s="4">
        <f t="shared" ref="D206:D208" si="341">POWER(10,C206)</f>
        <v>6425.2646484373718</v>
      </c>
      <c r="E206" s="13">
        <f t="shared" si="337"/>
        <v>5.0438327490233368</v>
      </c>
      <c r="F206" s="13">
        <f t="shared" si="338"/>
        <v>-168.88282532021069</v>
      </c>
      <c r="G206" s="13">
        <f t="shared" si="313"/>
        <v>-4.2956306288945791</v>
      </c>
      <c r="H206" s="4">
        <v>4.31111966592111</v>
      </c>
      <c r="I206" s="9">
        <f t="shared" ref="I206:I208" si="342">POWER(10,H206)</f>
        <v>20470.085937499876</v>
      </c>
      <c r="J206" s="13">
        <f t="shared" si="333"/>
        <v>16.069017460937406</v>
      </c>
      <c r="K206" s="13">
        <f t="shared" si="334"/>
        <v>12.720239217526908</v>
      </c>
      <c r="L206" s="13">
        <f t="shared" si="314"/>
        <v>0.73665582625372383</v>
      </c>
      <c r="M206" s="3">
        <v>-633</v>
      </c>
      <c r="N206" s="3">
        <v>-495</v>
      </c>
      <c r="O206" s="3">
        <f t="shared" si="181"/>
        <v>138</v>
      </c>
      <c r="P206" s="13">
        <v>0.84399999999999997</v>
      </c>
      <c r="Q206" s="13">
        <f t="shared" si="175"/>
        <v>1075.1592356687897</v>
      </c>
      <c r="R206" s="13">
        <f t="shared" si="176"/>
        <v>-78.058970303962056</v>
      </c>
      <c r="S206" s="13">
        <f t="shared" si="315"/>
        <v>-2.5056385756870769</v>
      </c>
      <c r="T206" s="43">
        <v>171</v>
      </c>
      <c r="U206" s="43">
        <v>115</v>
      </c>
      <c r="V206" s="4">
        <v>9589</v>
      </c>
      <c r="W206" s="4">
        <v>16110</v>
      </c>
      <c r="X206" s="4">
        <v>23399</v>
      </c>
      <c r="Y206" s="4">
        <v>12749</v>
      </c>
      <c r="Z206" s="4">
        <v>9277</v>
      </c>
      <c r="AA206" s="4">
        <v>6539</v>
      </c>
      <c r="AB206" s="4">
        <v>5933</v>
      </c>
      <c r="AC206" s="4">
        <v>5761</v>
      </c>
      <c r="AD206" s="13">
        <f t="shared" si="316"/>
        <v>-1.8064171747869937</v>
      </c>
      <c r="AE206" s="13">
        <f t="shared" si="317"/>
        <v>9.539327265681577E-2</v>
      </c>
      <c r="AF206" s="13">
        <f t="shared" si="318"/>
        <v>1.5807675616226593</v>
      </c>
      <c r="AG206" s="13">
        <f t="shared" si="319"/>
        <v>-1.0992347997206882</v>
      </c>
      <c r="AH206" s="13">
        <f t="shared" si="320"/>
        <v>-2.1567238996857738</v>
      </c>
      <c r="AI206" s="13">
        <f t="shared" si="321"/>
        <v>-2.9061153664389003</v>
      </c>
      <c r="AJ206" s="13">
        <f t="shared" si="322"/>
        <v>-3.6452269472073269</v>
      </c>
      <c r="AK206" s="15">
        <f t="shared" si="335"/>
        <v>4.5223849999999999</v>
      </c>
      <c r="AL206" s="13">
        <f t="shared" si="280"/>
        <v>-149.24492275646588</v>
      </c>
      <c r="AM206" s="13">
        <f t="shared" si="323"/>
        <v>-3.9662632027834266</v>
      </c>
      <c r="AN206" s="17">
        <f t="shared" si="336"/>
        <v>6.4513344270833333</v>
      </c>
      <c r="AO206" s="13">
        <f t="shared" si="281"/>
        <v>-69.964836328556416</v>
      </c>
      <c r="AP206" s="13">
        <f t="shared" si="324"/>
        <v>-2.3035908038947763</v>
      </c>
      <c r="AQ206" s="10" t="s">
        <v>240</v>
      </c>
      <c r="AR206" s="10" t="s">
        <v>236</v>
      </c>
      <c r="AS206">
        <v>430.19</v>
      </c>
    </row>
    <row r="207" spans="1:45" ht="14">
      <c r="A207" s="7" t="s">
        <v>165</v>
      </c>
      <c r="B207" s="7" t="s">
        <v>88</v>
      </c>
      <c r="C207" s="4">
        <v>3.8150290344914799</v>
      </c>
      <c r="D207" s="4">
        <f t="shared" si="341"/>
        <v>6531.7421874999227</v>
      </c>
      <c r="E207" s="13">
        <f t="shared" si="337"/>
        <v>5.1274176171874393</v>
      </c>
      <c r="F207" s="13">
        <f t="shared" si="338"/>
        <v>-164.49961779082102</v>
      </c>
      <c r="G207" s="13">
        <f t="shared" si="313"/>
        <v>-4.2242504880425829</v>
      </c>
      <c r="H207" s="4">
        <v>4.24037152206642</v>
      </c>
      <c r="I207" s="9">
        <f t="shared" si="342"/>
        <v>17392.880859374822</v>
      </c>
      <c r="J207" s="13">
        <f t="shared" si="333"/>
        <v>13.653411474609236</v>
      </c>
      <c r="K207" s="13">
        <f t="shared" si="334"/>
        <v>-2.721580068701468</v>
      </c>
      <c r="L207" s="13">
        <f t="shared" si="314"/>
        <v>2.9174387706822621E-2</v>
      </c>
      <c r="M207" s="3">
        <v>-614</v>
      </c>
      <c r="N207" s="3">
        <v>-499</v>
      </c>
      <c r="O207" s="3">
        <f t="shared" si="181"/>
        <v>115</v>
      </c>
      <c r="P207" s="13">
        <v>0.85499999999999998</v>
      </c>
      <c r="Q207" s="13">
        <f t="shared" si="175"/>
        <v>1089.1719745222929</v>
      </c>
      <c r="R207" s="13">
        <f t="shared" si="176"/>
        <v>-80.379644087544477</v>
      </c>
      <c r="S207" s="13">
        <f t="shared" si="315"/>
        <v>-2.5618752567122529</v>
      </c>
      <c r="T207" s="43">
        <v>160</v>
      </c>
      <c r="U207" s="43">
        <v>147</v>
      </c>
      <c r="V207" s="4">
        <v>15135</v>
      </c>
      <c r="W207" s="4">
        <v>13476</v>
      </c>
      <c r="X207" s="4">
        <v>21834</v>
      </c>
      <c r="Y207" s="4">
        <v>14840</v>
      </c>
      <c r="Z207" s="4">
        <v>9037</v>
      </c>
      <c r="AA207" s="4">
        <v>6938</v>
      </c>
      <c r="AB207" s="4">
        <v>6942</v>
      </c>
      <c r="AC207" s="4">
        <v>6813</v>
      </c>
      <c r="AD207" s="13">
        <f t="shared" si="316"/>
        <v>0.17567389186145177</v>
      </c>
      <c r="AE207" s="13">
        <f t="shared" si="317"/>
        <v>-0.67995210844453913</v>
      </c>
      <c r="AF207" s="13">
        <f t="shared" si="318"/>
        <v>1.2801276471182965</v>
      </c>
      <c r="AG207" s="13">
        <f t="shared" si="319"/>
        <v>-0.43965700150881548</v>
      </c>
      <c r="AH207" s="13">
        <f t="shared" si="320"/>
        <v>-2.2705566428537307</v>
      </c>
      <c r="AI207" s="13">
        <f t="shared" si="321"/>
        <v>-2.648885785006132</v>
      </c>
      <c r="AJ207" s="13">
        <f t="shared" si="322"/>
        <v>-2.9631243372279332</v>
      </c>
      <c r="AK207" s="15">
        <f t="shared" si="335"/>
        <v>5.3482050000000001</v>
      </c>
      <c r="AL207" s="13">
        <f t="shared" si="280"/>
        <v>-110.75884338764128</v>
      </c>
      <c r="AM207" s="13">
        <f t="shared" si="323"/>
        <v>-3.2378580656547169</v>
      </c>
      <c r="AN207" s="17">
        <f t="shared" si="336"/>
        <v>6.8618894270833337</v>
      </c>
      <c r="AO207" s="13">
        <f t="shared" si="281"/>
        <v>-59.79563816231159</v>
      </c>
      <c r="AP207" s="13">
        <f t="shared" si="324"/>
        <v>-2.0356492048552681</v>
      </c>
      <c r="AQ207" s="10" t="s">
        <v>240</v>
      </c>
      <c r="AR207" s="10" t="s">
        <v>236</v>
      </c>
      <c r="AS207">
        <v>430.19</v>
      </c>
    </row>
    <row r="208" spans="1:45" ht="14">
      <c r="A208" s="7" t="s">
        <v>165</v>
      </c>
      <c r="B208" s="7" t="s">
        <v>88</v>
      </c>
      <c r="C208" s="4">
        <v>3.8730600359999601</v>
      </c>
      <c r="D208" s="4">
        <f t="shared" si="341"/>
        <v>7465.5195312500118</v>
      </c>
      <c r="E208" s="13">
        <f t="shared" si="337"/>
        <v>5.8604328320312593</v>
      </c>
      <c r="F208" s="13">
        <f t="shared" si="338"/>
        <v>-131.41635419613422</v>
      </c>
      <c r="G208" s="13">
        <f t="shared" si="313"/>
        <v>-3.6439404729577811</v>
      </c>
      <c r="H208" s="4">
        <v>4.1737919896970004</v>
      </c>
      <c r="I208" s="9">
        <f t="shared" si="342"/>
        <v>14920.795898437289</v>
      </c>
      <c r="J208" s="13">
        <f t="shared" si="333"/>
        <v>11.712824780273273</v>
      </c>
      <c r="K208" s="13">
        <f t="shared" si="334"/>
        <v>-19.740543063709872</v>
      </c>
      <c r="L208" s="13">
        <f t="shared" si="314"/>
        <v>-0.63662093598737146</v>
      </c>
      <c r="M208" s="3">
        <v>-635</v>
      </c>
      <c r="N208" s="3">
        <v>-501</v>
      </c>
      <c r="O208" s="3">
        <f t="shared" si="181"/>
        <v>134</v>
      </c>
      <c r="P208" s="13">
        <v>0.98</v>
      </c>
      <c r="Q208" s="13">
        <f t="shared" si="175"/>
        <v>1248.4076433121018</v>
      </c>
      <c r="R208" s="13">
        <f t="shared" si="176"/>
        <v>-106.75093708279952</v>
      </c>
      <c r="S208" s="13">
        <f t="shared" si="315"/>
        <v>-3.1544748663554749</v>
      </c>
      <c r="T208" s="43">
        <v>185</v>
      </c>
      <c r="U208" s="43">
        <v>134</v>
      </c>
      <c r="V208" s="4">
        <v>22298</v>
      </c>
      <c r="W208" s="4">
        <v>21773</v>
      </c>
      <c r="X208" s="4">
        <v>11608</v>
      </c>
      <c r="Y208" s="4">
        <v>16184</v>
      </c>
      <c r="Z208" s="4">
        <v>11085</v>
      </c>
      <c r="AA208" s="4">
        <v>9634</v>
      </c>
      <c r="AB208" s="4">
        <v>7512</v>
      </c>
      <c r="AC208" s="4">
        <v>5710</v>
      </c>
      <c r="AD208" s="13">
        <f t="shared" si="316"/>
        <v>1.8585087501721576</v>
      </c>
      <c r="AE208" s="13">
        <f t="shared" si="317"/>
        <v>1.403620594191368</v>
      </c>
      <c r="AF208" s="13">
        <f t="shared" si="318"/>
        <v>-1.4636314182836991</v>
      </c>
      <c r="AG208" s="13">
        <f t="shared" si="319"/>
        <v>-6.3137313311415505E-2</v>
      </c>
      <c r="AH208" s="13">
        <f t="shared" si="320"/>
        <v>-1.3834424911554319</v>
      </c>
      <c r="AI208" s="13">
        <f t="shared" si="321"/>
        <v>-1.22316232028239</v>
      </c>
      <c r="AJ208" s="13">
        <f t="shared" si="322"/>
        <v>-2.62041463800132</v>
      </c>
      <c r="AK208" s="15">
        <f t="shared" si="335"/>
        <v>4.4823500000000003</v>
      </c>
      <c r="AL208" s="13">
        <f t="shared" si="280"/>
        <v>-151.47110332749563</v>
      </c>
      <c r="AM208" s="13">
        <f t="shared" si="323"/>
        <v>-4.0048808725902125</v>
      </c>
      <c r="AN208" s="17">
        <f t="shared" si="336"/>
        <v>7.711602864583333</v>
      </c>
      <c r="AO208" s="13">
        <f t="shared" si="281"/>
        <v>-42.188338696205044</v>
      </c>
      <c r="AP208" s="13">
        <f t="shared" si="324"/>
        <v>-1.5286398002553776</v>
      </c>
      <c r="AQ208" s="10" t="s">
        <v>240</v>
      </c>
      <c r="AR208" s="10" t="s">
        <v>236</v>
      </c>
      <c r="AS208">
        <v>430.19</v>
      </c>
    </row>
    <row r="209" spans="1:45" ht="13" customHeight="1">
      <c r="A209" s="7" t="s">
        <v>145</v>
      </c>
      <c r="B209" s="7" t="s">
        <v>89</v>
      </c>
      <c r="C209" s="4">
        <v>4.1898560451284004</v>
      </c>
      <c r="D209" s="4">
        <f t="shared" ref="D209:D211" si="343">POWER(10,C209)</f>
        <v>15483.033203124822</v>
      </c>
      <c r="E209" s="13">
        <f t="shared" si="337"/>
        <v>12.154181064452985</v>
      </c>
      <c r="F209" s="13">
        <f t="shared" si="338"/>
        <v>-11.583001175327446</v>
      </c>
      <c r="G209" s="13">
        <f t="shared" si="313"/>
        <v>-0.47598038167337514</v>
      </c>
      <c r="H209" s="4">
        <v>4.36662593807623</v>
      </c>
      <c r="I209" s="9">
        <f t="shared" ref="I209:I211" si="344">POWER(10,H209)</f>
        <v>23260.869140624523</v>
      </c>
      <c r="J209" s="13">
        <f t="shared" si="333"/>
        <v>18.259782275390251</v>
      </c>
      <c r="K209" s="13">
        <f t="shared" si="334"/>
        <v>23.191855256115002</v>
      </c>
      <c r="L209" s="13">
        <f t="shared" si="314"/>
        <v>1.29171854780492</v>
      </c>
      <c r="M209" s="3">
        <v>-578</v>
      </c>
      <c r="N209" s="3">
        <v>-491</v>
      </c>
      <c r="O209" s="3">
        <f t="shared" si="181"/>
        <v>87</v>
      </c>
      <c r="P209" s="13">
        <v>0.72899999999999998</v>
      </c>
      <c r="Q209" s="13">
        <f t="shared" ref="Q209:Q220" si="345">1000*P209/(0.785)</f>
        <v>928.66242038216558</v>
      </c>
      <c r="R209" s="13">
        <f t="shared" ref="R209:R220" si="346">(1-Q209/603.822)*100</f>
        <v>-53.797380748327406</v>
      </c>
      <c r="S209" s="13">
        <f t="shared" si="315"/>
        <v>-1.8694893926102727</v>
      </c>
      <c r="T209" s="43">
        <v>143</v>
      </c>
      <c r="U209" s="43">
        <v>130</v>
      </c>
      <c r="V209" s="4">
        <v>23450</v>
      </c>
      <c r="W209" s="4">
        <v>21071</v>
      </c>
      <c r="X209" s="4">
        <v>24721</v>
      </c>
      <c r="Y209" s="4">
        <v>18839</v>
      </c>
      <c r="Z209" s="4">
        <v>14358</v>
      </c>
      <c r="AA209" s="4">
        <v>15245</v>
      </c>
      <c r="AB209" s="4">
        <v>13293</v>
      </c>
      <c r="AC209" s="4">
        <v>11890</v>
      </c>
      <c r="AD209" s="13">
        <f t="shared" si="316"/>
        <v>2.0772781094465556</v>
      </c>
      <c r="AE209" s="13">
        <f t="shared" si="317"/>
        <v>1.261289339484525</v>
      </c>
      <c r="AF209" s="13">
        <f t="shared" si="318"/>
        <v>1.8194549335039012</v>
      </c>
      <c r="AG209" s="13">
        <f t="shared" si="319"/>
        <v>0.59658245027078483</v>
      </c>
      <c r="AH209" s="13">
        <f t="shared" si="320"/>
        <v>-0.25985997568969188</v>
      </c>
      <c r="AI209" s="13">
        <f t="shared" si="321"/>
        <v>0.77004554694745275</v>
      </c>
      <c r="AJ209" s="13">
        <f t="shared" si="322"/>
        <v>-0.14174038306912179</v>
      </c>
      <c r="AK209" s="15">
        <f t="shared" si="335"/>
        <v>9.3336500000000004</v>
      </c>
      <c r="AL209" s="13">
        <f t="shared" si="280"/>
        <v>-20.765349032800671</v>
      </c>
      <c r="AM209" s="13">
        <f t="shared" si="323"/>
        <v>-0.81942340886177734</v>
      </c>
      <c r="AN209" s="17">
        <f t="shared" si="336"/>
        <v>11.630224739583333</v>
      </c>
      <c r="AO209" s="13">
        <f t="shared" si="281"/>
        <v>5.7197926478518397</v>
      </c>
      <c r="AP209" s="13">
        <f t="shared" si="324"/>
        <v>0.25579470995033227</v>
      </c>
      <c r="AQ209" s="10" t="s">
        <v>240</v>
      </c>
      <c r="AR209" s="10" t="s">
        <v>235</v>
      </c>
      <c r="AS209">
        <v>152.15</v>
      </c>
    </row>
    <row r="210" spans="1:45" ht="14">
      <c r="A210" s="7" t="s">
        <v>145</v>
      </c>
      <c r="B210" s="7" t="s">
        <v>89</v>
      </c>
      <c r="C210" s="4">
        <v>4.4368940576116298</v>
      </c>
      <c r="D210" s="4">
        <f t="shared" si="343"/>
        <v>27346.015624999589</v>
      </c>
      <c r="E210" s="13">
        <f t="shared" si="337"/>
        <v>21.466622265624679</v>
      </c>
      <c r="F210" s="13">
        <f t="shared" si="338"/>
        <v>36.822850692643215</v>
      </c>
      <c r="G210" s="13">
        <f t="shared" si="313"/>
        <v>1.9943997431589175</v>
      </c>
      <c r="H210" s="4">
        <v>4.5663769953861504</v>
      </c>
      <c r="I210" s="9">
        <f t="shared" si="344"/>
        <v>36844.867187499331</v>
      </c>
      <c r="J210" s="13">
        <f t="shared" si="333"/>
        <v>28.923220742186974</v>
      </c>
      <c r="K210" s="13">
        <f t="shared" si="334"/>
        <v>51.509549627910744</v>
      </c>
      <c r="L210" s="13">
        <f t="shared" si="314"/>
        <v>3.2892291209041269</v>
      </c>
      <c r="M210" s="3">
        <v>-539</v>
      </c>
      <c r="N210" s="3">
        <v>-489</v>
      </c>
      <c r="O210" s="3">
        <f t="shared" si="181"/>
        <v>50</v>
      </c>
      <c r="P210" s="13">
        <v>0.46400000000000002</v>
      </c>
      <c r="Q210" s="13">
        <f t="shared" si="345"/>
        <v>591.08280254777071</v>
      </c>
      <c r="R210" s="13">
        <f t="shared" si="346"/>
        <v>2.1097604016132698</v>
      </c>
      <c r="S210" s="13">
        <f t="shared" si="315"/>
        <v>9.2606085020664225E-2</v>
      </c>
      <c r="T210" s="43">
        <v>48</v>
      </c>
      <c r="U210" s="43">
        <v>150</v>
      </c>
      <c r="V210" s="4">
        <v>10500</v>
      </c>
      <c r="W210" s="4">
        <v>29547</v>
      </c>
      <c r="X210" s="4">
        <v>24702</v>
      </c>
      <c r="Y210" s="4">
        <v>37935</v>
      </c>
      <c r="Z210" s="4">
        <v>36439</v>
      </c>
      <c r="AA210" s="4">
        <v>35094</v>
      </c>
      <c r="AB210" s="4">
        <v>32458</v>
      </c>
      <c r="AC210" s="4">
        <v>28431</v>
      </c>
      <c r="AD210" s="13">
        <f t="shared" si="316"/>
        <v>-1.4122573703650845</v>
      </c>
      <c r="AE210" s="13">
        <f t="shared" si="317"/>
        <v>2.7295717901512848</v>
      </c>
      <c r="AF210" s="13">
        <f t="shared" si="318"/>
        <v>1.8161157612308032</v>
      </c>
      <c r="AG210" s="13">
        <f t="shared" si="319"/>
        <v>3.6364048730619611</v>
      </c>
      <c r="AH210" s="13">
        <f t="shared" si="320"/>
        <v>3.7848650350107271</v>
      </c>
      <c r="AI210" s="13">
        <f t="shared" si="321"/>
        <v>4.3910999774031172</v>
      </c>
      <c r="AJ210" s="13">
        <f t="shared" si="322"/>
        <v>3.7352471285951721</v>
      </c>
      <c r="AK210" s="15">
        <f t="shared" si="335"/>
        <v>22.318334999999998</v>
      </c>
      <c r="AL210" s="13">
        <f t="shared" si="280"/>
        <v>49.495269248355669</v>
      </c>
      <c r="AM210" s="13">
        <f t="shared" si="323"/>
        <v>2.9666793983960442</v>
      </c>
      <c r="AN210" s="17">
        <f t="shared" si="336"/>
        <v>25.510463906249999</v>
      </c>
      <c r="AO210" s="13">
        <f t="shared" si="281"/>
        <v>57.017637780732002</v>
      </c>
      <c r="AP210" s="13">
        <f t="shared" si="324"/>
        <v>3.6670972028705999</v>
      </c>
      <c r="AQ210" s="10" t="s">
        <v>240</v>
      </c>
      <c r="AR210" s="10" t="s">
        <v>235</v>
      </c>
      <c r="AS210">
        <v>152.15</v>
      </c>
    </row>
    <row r="211" spans="1:45" ht="14">
      <c r="A211" s="7" t="s">
        <v>145</v>
      </c>
      <c r="B211" s="7" t="s">
        <v>89</v>
      </c>
      <c r="C211" s="4">
        <v>4.4692456126295603</v>
      </c>
      <c r="D211" s="4">
        <f t="shared" si="343"/>
        <v>29460.873046874753</v>
      </c>
      <c r="E211" s="13">
        <f t="shared" si="337"/>
        <v>23.126785341796683</v>
      </c>
      <c r="F211" s="13">
        <f t="shared" si="338"/>
        <v>41.35804090553993</v>
      </c>
      <c r="G211" s="13">
        <f t="shared" si="313"/>
        <v>2.317915293338225</v>
      </c>
      <c r="H211" s="4">
        <v>4.68530456578433</v>
      </c>
      <c r="I211" s="9">
        <f t="shared" si="344"/>
        <v>48451.203125000124</v>
      </c>
      <c r="J211" s="13">
        <f t="shared" si="333"/>
        <v>38.034194453125096</v>
      </c>
      <c r="K211" s="13">
        <f t="shared" si="334"/>
        <v>63.125287122131681</v>
      </c>
      <c r="L211" s="13">
        <f t="shared" si="314"/>
        <v>4.4785048248859241</v>
      </c>
      <c r="M211" s="3">
        <v>-507</v>
      </c>
      <c r="N211" s="3">
        <v>-487</v>
      </c>
      <c r="O211" s="3">
        <f t="shared" si="181"/>
        <v>20</v>
      </c>
      <c r="P211" s="13">
        <v>0.47399999999999998</v>
      </c>
      <c r="Q211" s="13">
        <f t="shared" si="345"/>
        <v>603.82165605095543</v>
      </c>
      <c r="R211" s="13">
        <f t="shared" si="346"/>
        <v>5.696199286697734E-5</v>
      </c>
      <c r="S211" s="13">
        <f t="shared" si="315"/>
        <v>2.4738286228272808E-6</v>
      </c>
      <c r="T211" s="43">
        <v>30</v>
      </c>
      <c r="U211" s="43">
        <v>151</v>
      </c>
      <c r="V211" s="4">
        <v>6232</v>
      </c>
      <c r="W211" s="4">
        <v>22700</v>
      </c>
      <c r="X211" s="4">
        <v>21244</v>
      </c>
      <c r="Y211" s="4">
        <v>29684</v>
      </c>
      <c r="Z211" s="4">
        <v>28546</v>
      </c>
      <c r="AA211" s="4">
        <v>24918</v>
      </c>
      <c r="AB211" s="4">
        <v>29617</v>
      </c>
      <c r="AC211" s="4">
        <v>27660</v>
      </c>
      <c r="AD211" s="13">
        <f t="shared" si="316"/>
        <v>-3.6778759144193858</v>
      </c>
      <c r="AE211" s="13">
        <f t="shared" si="317"/>
        <v>1.5846964403958621</v>
      </c>
      <c r="AF211" s="13">
        <f t="shared" si="318"/>
        <v>1.1611575148905025</v>
      </c>
      <c r="AG211" s="13">
        <f t="shared" si="319"/>
        <v>2.5712282182299258</v>
      </c>
      <c r="AH211" s="13">
        <f t="shared" si="320"/>
        <v>2.7246531489032781</v>
      </c>
      <c r="AI211" s="13">
        <f t="shared" si="321"/>
        <v>2.9039030748686763</v>
      </c>
      <c r="AJ211" s="13">
        <f t="shared" si="322"/>
        <v>3.3374402228736493</v>
      </c>
      <c r="AK211" s="15">
        <f t="shared" si="335"/>
        <v>21.713100000000001</v>
      </c>
      <c r="AL211" s="13">
        <f t="shared" si="280"/>
        <v>48.087490961677517</v>
      </c>
      <c r="AM211" s="13">
        <f t="shared" si="323"/>
        <v>2.8472798026842252</v>
      </c>
      <c r="AN211" s="17">
        <f t="shared" si="336"/>
        <v>20.862748750000002</v>
      </c>
      <c r="AO211" s="13">
        <f t="shared" si="281"/>
        <v>47.442208448203651</v>
      </c>
      <c r="AP211" s="13">
        <f t="shared" si="324"/>
        <v>2.7936289186948757</v>
      </c>
      <c r="AQ211" s="10" t="s">
        <v>240</v>
      </c>
      <c r="AR211" s="10" t="s">
        <v>235</v>
      </c>
      <c r="AS211">
        <v>152.15</v>
      </c>
    </row>
    <row r="212" spans="1:45" ht="13" customHeight="1">
      <c r="A212" s="7" t="s">
        <v>146</v>
      </c>
      <c r="B212" s="7" t="s">
        <v>90</v>
      </c>
      <c r="C212" s="4">
        <v>4.4329685083724</v>
      </c>
      <c r="D212" s="4">
        <f t="shared" ref="D212:D214" si="347">POWER(10,C212)</f>
        <v>27099.95117187504</v>
      </c>
      <c r="E212" s="13">
        <f t="shared" si="337"/>
        <v>21.273461669921907</v>
      </c>
      <c r="F212" s="13">
        <f t="shared" si="338"/>
        <v>36.249209412048714</v>
      </c>
      <c r="G212" s="13">
        <f t="shared" si="313"/>
        <v>1.9551442507666252</v>
      </c>
      <c r="H212" s="4">
        <v>4.4755236731371602</v>
      </c>
      <c r="I212" s="9">
        <f t="shared" ref="I212:I214" si="348">POWER(10,H212)</f>
        <v>29889.845703124924</v>
      </c>
      <c r="J212" s="13">
        <f t="shared" si="333"/>
        <v>23.463528876953067</v>
      </c>
      <c r="K212" s="13">
        <f t="shared" si="334"/>
        <v>40.22638251241063</v>
      </c>
      <c r="L212" s="13">
        <f t="shared" si="314"/>
        <v>2.3806958984142206</v>
      </c>
      <c r="M212" s="3">
        <v>-605</v>
      </c>
      <c r="N212" s="3">
        <v>-501</v>
      </c>
      <c r="O212" s="3">
        <f t="shared" si="181"/>
        <v>104</v>
      </c>
      <c r="P212" s="13">
        <v>0.38300000000000001</v>
      </c>
      <c r="Q212" s="13">
        <f t="shared" si="345"/>
        <v>487.8980891719745</v>
      </c>
      <c r="R212" s="13">
        <f t="shared" si="346"/>
        <v>19.198358262538552</v>
      </c>
      <c r="S212" s="13">
        <f t="shared" si="315"/>
        <v>0.92579815088324569</v>
      </c>
      <c r="T212" s="43">
        <v>168</v>
      </c>
      <c r="U212" s="43">
        <v>142</v>
      </c>
      <c r="V212" s="4">
        <v>12434</v>
      </c>
      <c r="W212" s="4">
        <v>21179</v>
      </c>
      <c r="X212" s="4">
        <v>29337</v>
      </c>
      <c r="Y212" s="4">
        <v>31617</v>
      </c>
      <c r="Z212" s="4">
        <v>30554</v>
      </c>
      <c r="AA212" s="4">
        <v>31419</v>
      </c>
      <c r="AB212" s="4">
        <v>31178</v>
      </c>
      <c r="AC212" s="4">
        <v>27145</v>
      </c>
      <c r="AD212" s="13">
        <f t="shared" si="316"/>
        <v>-0.67804173074309582</v>
      </c>
      <c r="AE212" s="13">
        <f t="shared" si="317"/>
        <v>1.283492372008054</v>
      </c>
      <c r="AF212" s="13">
        <f t="shared" si="318"/>
        <v>2.5629515959005182</v>
      </c>
      <c r="AG212" s="13">
        <f t="shared" si="319"/>
        <v>2.845210581374606</v>
      </c>
      <c r="AH212" s="13">
        <f t="shared" si="320"/>
        <v>3.0198812772481971</v>
      </c>
      <c r="AI212" s="13">
        <f t="shared" si="321"/>
        <v>3.9106948424684944</v>
      </c>
      <c r="AJ212" s="13">
        <f t="shared" si="322"/>
        <v>3.5605120965408972</v>
      </c>
      <c r="AK212" s="15">
        <f t="shared" si="335"/>
        <v>21.308825000000002</v>
      </c>
      <c r="AL212" s="13">
        <f t="shared" si="280"/>
        <v>47.102597163381844</v>
      </c>
      <c r="AM212" s="13">
        <f t="shared" si="323"/>
        <v>2.7656565048682937</v>
      </c>
      <c r="AN212" s="17">
        <f t="shared" si="336"/>
        <v>23.094495572916667</v>
      </c>
      <c r="AO212" s="13">
        <f t="shared" si="281"/>
        <v>52.521153946056074</v>
      </c>
      <c r="AP212" s="13">
        <f t="shared" si="324"/>
        <v>3.2349984486686987</v>
      </c>
      <c r="AQ212" s="10" t="s">
        <v>238</v>
      </c>
      <c r="AR212" s="10" t="s">
        <v>235</v>
      </c>
      <c r="AS212">
        <v>161.25</v>
      </c>
    </row>
    <row r="213" spans="1:45" ht="14">
      <c r="A213" s="7" t="s">
        <v>146</v>
      </c>
      <c r="B213" s="7" t="s">
        <v>90</v>
      </c>
      <c r="C213" s="4">
        <v>4.3361421368492596</v>
      </c>
      <c r="D213" s="4">
        <f t="shared" si="347"/>
        <v>21684.136718749774</v>
      </c>
      <c r="E213" s="13">
        <f t="shared" si="337"/>
        <v>17.022047324218573</v>
      </c>
      <c r="F213" s="13">
        <f t="shared" si="338"/>
        <v>20.326857623616746</v>
      </c>
      <c r="G213" s="13">
        <f t="shared" si="313"/>
        <v>0.98688053553522004</v>
      </c>
      <c r="H213" s="4">
        <v>4.3577973968822397</v>
      </c>
      <c r="I213" s="9">
        <f t="shared" si="348"/>
        <v>22792.785156249669</v>
      </c>
      <c r="J213" s="13">
        <f t="shared" si="333"/>
        <v>17.892336347655991</v>
      </c>
      <c r="K213" s="13">
        <f t="shared" si="334"/>
        <v>21.614484953289161</v>
      </c>
      <c r="L213" s="13">
        <f t="shared" si="314"/>
        <v>1.2034331358650152</v>
      </c>
      <c r="M213" s="3">
        <v>-640</v>
      </c>
      <c r="N213" s="3">
        <v>-519</v>
      </c>
      <c r="O213" s="3">
        <f t="shared" si="181"/>
        <v>121</v>
      </c>
      <c r="P213" s="13">
        <v>0.373</v>
      </c>
      <c r="Q213" s="13">
        <f t="shared" si="345"/>
        <v>475.15923566878979</v>
      </c>
      <c r="R213" s="13">
        <f t="shared" si="346"/>
        <v>21.308061702158952</v>
      </c>
      <c r="S213" s="13">
        <f t="shared" si="315"/>
        <v>1.0406975724825975</v>
      </c>
      <c r="T213" s="43">
        <v>170</v>
      </c>
      <c r="U213" s="43">
        <v>146</v>
      </c>
      <c r="V213" s="4">
        <v>7991</v>
      </c>
      <c r="W213" s="4">
        <v>16775</v>
      </c>
      <c r="X213" s="4">
        <v>20768</v>
      </c>
      <c r="Y213" s="4">
        <v>26844</v>
      </c>
      <c r="Z213" s="4">
        <v>23334</v>
      </c>
      <c r="AA213" s="4">
        <v>23152</v>
      </c>
      <c r="AB213" s="4">
        <v>20637</v>
      </c>
      <c r="AC213" s="4">
        <v>19162</v>
      </c>
      <c r="AD213" s="13">
        <f t="shared" si="316"/>
        <v>-2.5981390543991525</v>
      </c>
      <c r="AE213" s="13">
        <f t="shared" si="317"/>
        <v>0.27106315687493188</v>
      </c>
      <c r="AF213" s="13">
        <f t="shared" si="318"/>
        <v>1.0627413386222586</v>
      </c>
      <c r="AG213" s="13">
        <f t="shared" si="319"/>
        <v>2.1344762905036467</v>
      </c>
      <c r="AH213" s="13">
        <f t="shared" si="320"/>
        <v>1.849092469650532</v>
      </c>
      <c r="AI213" s="13">
        <f t="shared" si="321"/>
        <v>2.5846563976830805</v>
      </c>
      <c r="AJ213" s="13">
        <f t="shared" si="322"/>
        <v>1.7684952111107721</v>
      </c>
      <c r="AK213" s="15">
        <f t="shared" si="335"/>
        <v>15.04217</v>
      </c>
      <c r="AL213" s="13">
        <f t="shared" si="280"/>
        <v>25.065233274188504</v>
      </c>
      <c r="AM213" s="13">
        <f t="shared" si="323"/>
        <v>1.2531664032500012</v>
      </c>
      <c r="AN213" s="17">
        <f t="shared" si="336"/>
        <v>16.820522083333334</v>
      </c>
      <c r="AO213" s="13">
        <f t="shared" si="281"/>
        <v>34.811773703120053</v>
      </c>
      <c r="AP213" s="13">
        <f t="shared" si="324"/>
        <v>1.85830835495434</v>
      </c>
      <c r="AQ213" s="10" t="s">
        <v>238</v>
      </c>
      <c r="AR213" s="10" t="s">
        <v>235</v>
      </c>
      <c r="AS213">
        <v>161.25</v>
      </c>
    </row>
    <row r="214" spans="1:45" ht="14">
      <c r="A214" s="7" t="s">
        <v>146</v>
      </c>
      <c r="B214" s="7" t="s">
        <v>90</v>
      </c>
      <c r="C214" s="4">
        <v>4.2705060172535303</v>
      </c>
      <c r="D214" s="4">
        <f t="shared" si="347"/>
        <v>18642.580078124745</v>
      </c>
      <c r="E214" s="13">
        <f t="shared" si="337"/>
        <v>14.634425361327926</v>
      </c>
      <c r="F214" s="13">
        <f t="shared" si="338"/>
        <v>7.328100248895697</v>
      </c>
      <c r="G214" s="13">
        <f t="shared" si="313"/>
        <v>0.33051933957792146</v>
      </c>
      <c r="H214" s="4">
        <v>4.4445095793142997</v>
      </c>
      <c r="I214" s="9">
        <f t="shared" si="348"/>
        <v>27829.767578124633</v>
      </c>
      <c r="J214" s="13">
        <f t="shared" si="333"/>
        <v>21.846367548827839</v>
      </c>
      <c r="K214" s="13">
        <f t="shared" si="334"/>
        <v>35.801684336522534</v>
      </c>
      <c r="L214" s="13">
        <f t="shared" si="314"/>
        <v>2.0705549601856186</v>
      </c>
      <c r="M214" s="3">
        <v>-633</v>
      </c>
      <c r="N214" s="3">
        <v>-517</v>
      </c>
      <c r="O214" s="3">
        <f t="shared" si="181"/>
        <v>116</v>
      </c>
      <c r="P214" s="13">
        <v>0.46300000000000002</v>
      </c>
      <c r="Q214" s="13">
        <f t="shared" si="345"/>
        <v>589.80891719745216</v>
      </c>
      <c r="R214" s="13">
        <f t="shared" si="346"/>
        <v>2.3207307455753279</v>
      </c>
      <c r="S214" s="13">
        <f t="shared" si="315"/>
        <v>0.10197598038994253</v>
      </c>
      <c r="T214" s="43">
        <v>181</v>
      </c>
      <c r="U214" s="43">
        <v>152</v>
      </c>
      <c r="V214" s="4">
        <v>14316</v>
      </c>
      <c r="W214" s="4">
        <v>17126</v>
      </c>
      <c r="X214" s="4">
        <v>29348</v>
      </c>
      <c r="Y214" s="4">
        <v>28435</v>
      </c>
      <c r="Z214" s="4">
        <v>26407</v>
      </c>
      <c r="AA214" s="4">
        <v>22507</v>
      </c>
      <c r="AB214" s="4">
        <v>19676</v>
      </c>
      <c r="AC214" s="4">
        <v>17074</v>
      </c>
      <c r="AD214" s="13">
        <f t="shared" si="316"/>
        <v>-6.5933463884798607E-2</v>
      </c>
      <c r="AE214" s="13">
        <f t="shared" si="317"/>
        <v>0.36099726532226867</v>
      </c>
      <c r="AF214" s="13">
        <f t="shared" si="318"/>
        <v>2.5645796914468706</v>
      </c>
      <c r="AG214" s="13">
        <f t="shared" si="319"/>
        <v>2.3845363149429648</v>
      </c>
      <c r="AH214" s="13">
        <f t="shared" si="320"/>
        <v>2.3863911887977003</v>
      </c>
      <c r="AI214" s="13">
        <f t="shared" si="321"/>
        <v>2.461947369301726</v>
      </c>
      <c r="AJ214" s="13">
        <f t="shared" si="322"/>
        <v>1.5613977082910719</v>
      </c>
      <c r="AK214" s="15">
        <f t="shared" si="335"/>
        <v>13.403090000000001</v>
      </c>
      <c r="AL214" s="13">
        <f t="shared" si="280"/>
        <v>15.901370504861189</v>
      </c>
      <c r="AM214" s="13">
        <f t="shared" si="323"/>
        <v>0.75211081580785089</v>
      </c>
      <c r="AN214" s="17">
        <f t="shared" si="336"/>
        <v>17.197812708333334</v>
      </c>
      <c r="AO214" s="13">
        <f t="shared" si="281"/>
        <v>36.241892001261164</v>
      </c>
      <c r="AP214" s="13">
        <f t="shared" si="324"/>
        <v>1.9546457896920544</v>
      </c>
      <c r="AQ214" s="10" t="s">
        <v>238</v>
      </c>
      <c r="AR214" s="10" t="s">
        <v>235</v>
      </c>
      <c r="AS214">
        <v>161.25</v>
      </c>
    </row>
    <row r="215" spans="1:45" ht="13" customHeight="1">
      <c r="A215" s="7" t="s">
        <v>147</v>
      </c>
      <c r="B215" s="7" t="s">
        <v>91</v>
      </c>
      <c r="C215" s="4">
        <v>3.9803496316790401</v>
      </c>
      <c r="D215" s="4">
        <f t="shared" ref="D215:D217" si="349">POWER(10,C215)</f>
        <v>9557.6171874999527</v>
      </c>
      <c r="E215" s="13">
        <f t="shared" si="337"/>
        <v>7.5027294921874637</v>
      </c>
      <c r="F215" s="13">
        <f t="shared" si="338"/>
        <v>-80.76088194465774</v>
      </c>
      <c r="G215" s="13">
        <f t="shared" si="313"/>
        <v>-2.5710445161669786</v>
      </c>
      <c r="H215" s="4">
        <v>4.21834084018061</v>
      </c>
      <c r="I215" s="9">
        <f t="shared" ref="I215:I217" si="350">POWER(10,H215)</f>
        <v>16532.587890624796</v>
      </c>
      <c r="J215" s="13">
        <f t="shared" si="333"/>
        <v>12.978081494140467</v>
      </c>
      <c r="K215" s="13">
        <f t="shared" si="334"/>
        <v>-8.0668202486801519</v>
      </c>
      <c r="L215" s="13">
        <f t="shared" si="314"/>
        <v>-0.19113243115127998</v>
      </c>
      <c r="M215" s="3">
        <v>-576</v>
      </c>
      <c r="N215" s="3">
        <v>-505</v>
      </c>
      <c r="O215" s="3">
        <f t="shared" ref="O215:O220" si="351">N215-M215</f>
        <v>71</v>
      </c>
      <c r="P215" s="13">
        <v>0.45500000000000002</v>
      </c>
      <c r="Q215" s="13">
        <f t="shared" si="345"/>
        <v>579.61783439490443</v>
      </c>
      <c r="R215" s="13">
        <f t="shared" si="346"/>
        <v>4.0084934972716368</v>
      </c>
      <c r="S215" s="13">
        <f t="shared" si="315"/>
        <v>0.17767192399834963</v>
      </c>
      <c r="T215" s="43">
        <v>54</v>
      </c>
      <c r="U215" s="43">
        <v>157</v>
      </c>
      <c r="V215" s="4">
        <v>13294</v>
      </c>
      <c r="W215" s="4">
        <v>16881</v>
      </c>
      <c r="X215" s="4">
        <v>18459</v>
      </c>
      <c r="Y215" s="4">
        <v>23378</v>
      </c>
      <c r="Z215" s="4">
        <v>12061</v>
      </c>
      <c r="AA215" s="4">
        <v>9545</v>
      </c>
      <c r="AB215" s="4">
        <v>7688</v>
      </c>
      <c r="AC215" s="4">
        <v>8148</v>
      </c>
      <c r="AD215" s="13">
        <f t="shared" si="316"/>
        <v>-0.38759361668324643</v>
      </c>
      <c r="AE215" s="13">
        <f t="shared" si="317"/>
        <v>0.29841956720118606</v>
      </c>
      <c r="AF215" s="13">
        <f t="shared" si="318"/>
        <v>0.55087628549641754</v>
      </c>
      <c r="AG215" s="13">
        <f t="shared" si="319"/>
        <v>1.5340775320340858</v>
      </c>
      <c r="AH215" s="13">
        <f t="shared" si="320"/>
        <v>-1.0169662910376485</v>
      </c>
      <c r="AI215" s="13">
        <f t="shared" si="321"/>
        <v>-1.2634694127696862</v>
      </c>
      <c r="AJ215" s="13">
        <f t="shared" si="322"/>
        <v>-2.5198366839769761</v>
      </c>
      <c r="AK215" s="15">
        <f t="shared" si="335"/>
        <v>6.3961800000000002</v>
      </c>
      <c r="AL215" s="13">
        <f t="shared" si="280"/>
        <v>-76.227295041728027</v>
      </c>
      <c r="AM215" s="13">
        <f t="shared" si="323"/>
        <v>-2.4607317517674279</v>
      </c>
      <c r="AN215" s="17">
        <f t="shared" si="336"/>
        <v>8.6126193229166663</v>
      </c>
      <c r="AO215" s="13">
        <f t="shared" si="281"/>
        <v>-27.31318532590965</v>
      </c>
      <c r="AP215" s="13">
        <f t="shared" si="324"/>
        <v>-1.0487338415442911</v>
      </c>
      <c r="AQ215" s="10" t="s">
        <v>237</v>
      </c>
      <c r="AR215" s="10" t="s">
        <v>236</v>
      </c>
      <c r="AS215">
        <v>140.19</v>
      </c>
    </row>
    <row r="216" spans="1:45" ht="14">
      <c r="A216" s="7" t="s">
        <v>147</v>
      </c>
      <c r="B216" s="7" t="s">
        <v>91</v>
      </c>
      <c r="C216" s="4">
        <v>3.9825984740303002</v>
      </c>
      <c r="D216" s="4">
        <f t="shared" si="349"/>
        <v>9607.2363281249927</v>
      </c>
      <c r="E216" s="13">
        <f t="shared" si="337"/>
        <v>7.5416805175781194</v>
      </c>
      <c r="F216" s="13">
        <f t="shared" si="338"/>
        <v>-79.827294041291495</v>
      </c>
      <c r="G216" s="13">
        <f t="shared" si="313"/>
        <v>-2.5485560926543798</v>
      </c>
      <c r="H216" s="4">
        <v>4.4537022041363299</v>
      </c>
      <c r="I216" s="9">
        <f t="shared" si="350"/>
        <v>28425.113281249807</v>
      </c>
      <c r="J216" s="13">
        <f t="shared" si="333"/>
        <v>22.313713925781098</v>
      </c>
      <c r="K216" s="13">
        <f t="shared" si="334"/>
        <v>37.146276739724527</v>
      </c>
      <c r="L216" s="13">
        <f t="shared" si="314"/>
        <v>2.162481208405922</v>
      </c>
      <c r="M216" s="3">
        <v>-615</v>
      </c>
      <c r="N216" s="3">
        <v>-500</v>
      </c>
      <c r="O216" s="3">
        <f t="shared" si="351"/>
        <v>115</v>
      </c>
      <c r="P216" s="13">
        <v>1.0660000000000001</v>
      </c>
      <c r="Q216" s="13">
        <f t="shared" si="345"/>
        <v>1357.9617834394903</v>
      </c>
      <c r="R216" s="13">
        <f t="shared" si="346"/>
        <v>-124.89438666353499</v>
      </c>
      <c r="S216" s="13">
        <f t="shared" si="315"/>
        <v>-3.5197861563360613</v>
      </c>
      <c r="T216" s="43">
        <v>163</v>
      </c>
      <c r="U216" s="43">
        <v>156</v>
      </c>
      <c r="V216" s="4">
        <v>17122</v>
      </c>
      <c r="W216" s="4">
        <v>18638</v>
      </c>
      <c r="X216" s="4">
        <v>26647</v>
      </c>
      <c r="Y216" s="4">
        <v>23161</v>
      </c>
      <c r="Z216" s="4">
        <v>12230</v>
      </c>
      <c r="AA216" s="4">
        <v>6666</v>
      </c>
      <c r="AB216" s="4">
        <v>7022</v>
      </c>
      <c r="AC216" s="4">
        <v>7408</v>
      </c>
      <c r="AD216" s="13">
        <f t="shared" si="316"/>
        <v>0.71139456608076923</v>
      </c>
      <c r="AE216" s="13">
        <f t="shared" si="317"/>
        <v>0.72843094243972173</v>
      </c>
      <c r="AF216" s="13">
        <f t="shared" si="318"/>
        <v>2.1452778066798484</v>
      </c>
      <c r="AG216" s="13">
        <f t="shared" si="319"/>
        <v>1.4935770547732108</v>
      </c>
      <c r="AH216" s="13">
        <f t="shared" si="320"/>
        <v>-0.95653489529764735</v>
      </c>
      <c r="AI216" s="13">
        <f t="shared" si="321"/>
        <v>-2.8225756468214298</v>
      </c>
      <c r="AJ216" s="13">
        <f t="shared" si="322"/>
        <v>-2.9133621792885416</v>
      </c>
      <c r="AK216" s="15">
        <f t="shared" si="335"/>
        <v>5.8152800000000004</v>
      </c>
      <c r="AL216" s="13">
        <f t="shared" si="280"/>
        <v>-93.830993520518334</v>
      </c>
      <c r="AM216" s="13">
        <f t="shared" si="323"/>
        <v>-2.8742322183099134</v>
      </c>
      <c r="AN216" s="17">
        <f t="shared" si="336"/>
        <v>8.1971989583333329</v>
      </c>
      <c r="AO216" s="13">
        <f t="shared" si="281"/>
        <v>-33.765205111349658</v>
      </c>
      <c r="AP216" s="13">
        <f t="shared" si="324"/>
        <v>-1.2634315981948261</v>
      </c>
      <c r="AQ216" s="10" t="s">
        <v>237</v>
      </c>
      <c r="AR216" s="10" t="s">
        <v>236</v>
      </c>
      <c r="AS216">
        <v>140.19</v>
      </c>
    </row>
    <row r="217" spans="1:45" ht="14">
      <c r="A217" s="7" t="s">
        <v>147</v>
      </c>
      <c r="B217" s="7" t="s">
        <v>91</v>
      </c>
      <c r="C217" s="4">
        <v>4.1217309313933201</v>
      </c>
      <c r="D217" s="4">
        <f t="shared" si="349"/>
        <v>13235.212890624904</v>
      </c>
      <c r="E217" s="13">
        <f t="shared" si="337"/>
        <v>10.38964211914055</v>
      </c>
      <c r="F217" s="13">
        <f t="shared" si="338"/>
        <v>-30.533851353889286</v>
      </c>
      <c r="G217" s="13">
        <f t="shared" si="313"/>
        <v>-1.1572315190241758</v>
      </c>
      <c r="H217" s="4">
        <v>4.2521045685302798</v>
      </c>
      <c r="I217" s="9">
        <f t="shared" si="350"/>
        <v>17869.177734374938</v>
      </c>
      <c r="J217" s="13">
        <f t="shared" si="333"/>
        <v>14.027304521484329</v>
      </c>
      <c r="K217" s="13">
        <f t="shared" si="334"/>
        <v>1.6428826228154225E-2</v>
      </c>
      <c r="L217" s="13">
        <f t="shared" si="314"/>
        <v>0.14650485234542143</v>
      </c>
      <c r="M217" s="3">
        <v>-536</v>
      </c>
      <c r="N217" s="3">
        <v>-526</v>
      </c>
      <c r="O217" s="3">
        <f t="shared" si="351"/>
        <v>10</v>
      </c>
      <c r="P217" s="13">
        <v>0.86</v>
      </c>
      <c r="Q217" s="13">
        <f t="shared" si="345"/>
        <v>1095.5414012738854</v>
      </c>
      <c r="R217" s="13">
        <f t="shared" si="346"/>
        <v>-81.434495807354708</v>
      </c>
      <c r="S217" s="13">
        <f t="shared" si="315"/>
        <v>-2.5871986218662038</v>
      </c>
      <c r="T217" s="43">
        <v>22</v>
      </c>
      <c r="U217" s="43">
        <v>356</v>
      </c>
      <c r="V217" s="4">
        <v>12780</v>
      </c>
      <c r="W217" s="4">
        <v>11536</v>
      </c>
      <c r="X217" s="4">
        <v>19772</v>
      </c>
      <c r="Y217" s="4">
        <v>21791</v>
      </c>
      <c r="Z217" s="4">
        <v>12938</v>
      </c>
      <c r="AA217" s="4">
        <v>8059</v>
      </c>
      <c r="AB217" s="4">
        <v>8543</v>
      </c>
      <c r="AC217" s="4">
        <v>7919</v>
      </c>
      <c r="AD217" s="13">
        <f t="shared" si="316"/>
        <v>-0.55884182284065198</v>
      </c>
      <c r="AE217" s="13">
        <f t="shared" si="317"/>
        <v>-1.3550096577818269</v>
      </c>
      <c r="AF217" s="13">
        <f t="shared" si="318"/>
        <v>0.84930060530689799</v>
      </c>
      <c r="AG217" s="13">
        <f t="shared" si="319"/>
        <v>1.2287755960288225</v>
      </c>
      <c r="AH217" s="13">
        <f t="shared" si="320"/>
        <v>-0.71212799761580692</v>
      </c>
      <c r="AI217" s="13">
        <f t="shared" si="321"/>
        <v>-1.9984171823450114</v>
      </c>
      <c r="AJ217" s="13">
        <f t="shared" si="322"/>
        <v>-2.0618663669522452</v>
      </c>
      <c r="AK217" s="15">
        <f t="shared" si="335"/>
        <v>6.2164149999999996</v>
      </c>
      <c r="AL217" s="13">
        <f t="shared" si="280"/>
        <v>-81.323399419118587</v>
      </c>
      <c r="AM217" s="13">
        <f t="shared" si="323"/>
        <v>-2.5845385253933948</v>
      </c>
      <c r="AN217" s="17">
        <f t="shared" si="336"/>
        <v>8.3992056250000005</v>
      </c>
      <c r="AO217" s="13">
        <f t="shared" si="281"/>
        <v>-30.548060013711108</v>
      </c>
      <c r="AP217" s="13">
        <f t="shared" si="324"/>
        <v>-1.1577042245080313</v>
      </c>
      <c r="AQ217" s="10" t="s">
        <v>237</v>
      </c>
      <c r="AR217" s="10" t="s">
        <v>236</v>
      </c>
      <c r="AS217">
        <v>140.19</v>
      </c>
    </row>
    <row r="218" spans="1:45" ht="13" customHeight="1">
      <c r="A218" s="7" t="s">
        <v>148</v>
      </c>
      <c r="B218" s="7" t="s">
        <v>92</v>
      </c>
      <c r="C218" s="4">
        <v>3.9567429054155099</v>
      </c>
      <c r="D218" s="4">
        <f t="shared" ref="D218:D219" si="352">POWER(10,C218)</f>
        <v>9051.9658203124527</v>
      </c>
      <c r="E218" s="13">
        <f t="shared" si="337"/>
        <v>7.1057931689452749</v>
      </c>
      <c r="F218" s="13">
        <f t="shared" si="338"/>
        <v>-90.8583556761902</v>
      </c>
      <c r="G218" s="13">
        <f t="shared" si="313"/>
        <v>-2.8071117788022804</v>
      </c>
      <c r="H218" s="4">
        <v>4.2763864441676898</v>
      </c>
      <c r="I218" s="9">
        <f t="shared" ref="I218:I220" si="353">POWER(10,H218)</f>
        <v>18896.720703124658</v>
      </c>
      <c r="J218" s="13">
        <f t="shared" si="333"/>
        <v>14.833925751952856</v>
      </c>
      <c r="K218" s="13">
        <f t="shared" si="334"/>
        <v>5.4532142433459496</v>
      </c>
      <c r="L218" s="13">
        <f t="shared" si="314"/>
        <v>0.38932360871951799</v>
      </c>
      <c r="M218" s="3">
        <v>-607</v>
      </c>
      <c r="N218" s="3">
        <v>-513</v>
      </c>
      <c r="O218" s="3">
        <f t="shared" si="351"/>
        <v>94</v>
      </c>
      <c r="P218" s="13">
        <v>0.371</v>
      </c>
      <c r="Q218" s="13">
        <f t="shared" si="345"/>
        <v>472.61146496815286</v>
      </c>
      <c r="R218" s="13">
        <f t="shared" si="346"/>
        <v>21.730002390083026</v>
      </c>
      <c r="S218" s="13">
        <f t="shared" si="315"/>
        <v>1.0640467944190144</v>
      </c>
      <c r="T218" s="43">
        <v>146</v>
      </c>
      <c r="U218" s="43">
        <v>159</v>
      </c>
      <c r="V218" s="4">
        <v>16207</v>
      </c>
      <c r="W218" s="4">
        <v>25252</v>
      </c>
      <c r="X218" s="4">
        <v>18900</v>
      </c>
      <c r="Y218" s="4">
        <v>17454</v>
      </c>
      <c r="Z218" s="4">
        <v>11420</v>
      </c>
      <c r="AA218" s="4">
        <v>7231</v>
      </c>
      <c r="AB218" s="4">
        <v>8720</v>
      </c>
      <c r="AC218" s="4">
        <v>6516</v>
      </c>
      <c r="AD218" s="13">
        <f t="shared" si="316"/>
        <v>0.47287596013905431</v>
      </c>
      <c r="AE218" s="13">
        <f t="shared" si="317"/>
        <v>2.0473956750177971</v>
      </c>
      <c r="AF218" s="13">
        <f t="shared" si="318"/>
        <v>0.65341262915194798</v>
      </c>
      <c r="AG218" s="13">
        <f t="shared" si="319"/>
        <v>0.26495370536812968</v>
      </c>
      <c r="AH218" s="13">
        <f t="shared" si="320"/>
        <v>-1.2541384265622098</v>
      </c>
      <c r="AI218" s="13">
        <f t="shared" si="321"/>
        <v>-2.469245124727768</v>
      </c>
      <c r="AJ218" s="13">
        <f t="shared" si="322"/>
        <v>-1.9728055812561935</v>
      </c>
      <c r="AK218" s="15">
        <f t="shared" si="335"/>
        <v>5.1150600000000006</v>
      </c>
      <c r="AL218" s="13">
        <f t="shared" si="280"/>
        <v>-120.36525475751993</v>
      </c>
      <c r="AM218" s="13">
        <f t="shared" si="323"/>
        <v>-3.4314311986839749</v>
      </c>
      <c r="AN218" s="17">
        <f t="shared" si="336"/>
        <v>7.9626066145833336</v>
      </c>
      <c r="AO218" s="13">
        <f t="shared" si="281"/>
        <v>-37.706162450846811</v>
      </c>
      <c r="AP218" s="13">
        <f t="shared" si="324"/>
        <v>-1.3895337568548782</v>
      </c>
      <c r="AQ218" s="10" t="s">
        <v>240</v>
      </c>
      <c r="AR218" s="10" t="s">
        <v>236</v>
      </c>
      <c r="AS218">
        <v>202.25</v>
      </c>
    </row>
    <row r="219" spans="1:45" ht="14">
      <c r="A219" s="7" t="s">
        <v>148</v>
      </c>
      <c r="B219" s="7" t="s">
        <v>92</v>
      </c>
      <c r="C219" s="4">
        <v>4.1664883644114399</v>
      </c>
      <c r="D219" s="4">
        <f t="shared" si="352"/>
        <v>14671.967773437515</v>
      </c>
      <c r="E219" s="13">
        <f t="shared" si="337"/>
        <v>11.517494702148449</v>
      </c>
      <c r="F219" s="13">
        <f t="shared" si="338"/>
        <v>-17.751302264286451</v>
      </c>
      <c r="G219" s="13">
        <f t="shared" si="313"/>
        <v>-0.70965718884298146</v>
      </c>
      <c r="H219" s="4">
        <v>4.3230710123646396</v>
      </c>
      <c r="I219" s="9">
        <f t="shared" si="353"/>
        <v>21041.224609374978</v>
      </c>
      <c r="J219" s="13">
        <f t="shared" si="333"/>
        <v>16.51736131835936</v>
      </c>
      <c r="K219" s="13">
        <f t="shared" si="334"/>
        <v>15.08934308768225</v>
      </c>
      <c r="L219" s="13">
        <f t="shared" si="314"/>
        <v>0.8561692906890227</v>
      </c>
      <c r="M219" s="3">
        <v>-580</v>
      </c>
      <c r="N219" s="3">
        <v>-518</v>
      </c>
      <c r="O219" s="3">
        <f t="shared" si="351"/>
        <v>62</v>
      </c>
      <c r="P219" s="13">
        <v>9.7000000000000003E-2</v>
      </c>
      <c r="Q219" s="13">
        <f t="shared" si="345"/>
        <v>123.56687898089172</v>
      </c>
      <c r="R219" s="13">
        <f t="shared" si="346"/>
        <v>79.535876635682087</v>
      </c>
      <c r="S219" s="13">
        <f t="shared" si="315"/>
        <v>6.8900685479070241</v>
      </c>
      <c r="T219" s="43">
        <v>62</v>
      </c>
      <c r="U219" s="43">
        <v>209</v>
      </c>
      <c r="V219" s="4">
        <v>15229</v>
      </c>
      <c r="W219" s="4">
        <v>20225</v>
      </c>
      <c r="X219" s="4">
        <v>17760</v>
      </c>
      <c r="Y219" s="4">
        <v>16581</v>
      </c>
      <c r="Z219" s="4">
        <v>14929</v>
      </c>
      <c r="AA219" s="4">
        <v>7036</v>
      </c>
      <c r="AB219" s="4">
        <v>9086</v>
      </c>
      <c r="AC219" s="4">
        <v>8101</v>
      </c>
      <c r="AD219" s="13">
        <f t="shared" si="316"/>
        <v>0.20256350569032056</v>
      </c>
      <c r="AE219" s="13">
        <f t="shared" si="317"/>
        <v>1.0833231713077338</v>
      </c>
      <c r="AF219" s="13">
        <f t="shared" si="318"/>
        <v>0.38322420184532885</v>
      </c>
      <c r="AG219" s="13">
        <f t="shared" si="319"/>
        <v>4.2111182075477212E-2</v>
      </c>
      <c r="AH219" s="13">
        <f t="shared" si="320"/>
        <v>-9.0492285280247303E-2</v>
      </c>
      <c r="AI219" s="13">
        <f t="shared" si="321"/>
        <v>-2.5879704322123058</v>
      </c>
      <c r="AJ219" s="13">
        <f t="shared" si="322"/>
        <v>-1.794243105795793</v>
      </c>
      <c r="AK219" s="15">
        <f t="shared" si="335"/>
        <v>6.3592849999999999</v>
      </c>
      <c r="AL219" s="13">
        <f t="shared" si="280"/>
        <v>-77.249722256511546</v>
      </c>
      <c r="AM219" s="13">
        <f t="shared" si="323"/>
        <v>-2.4858556333290989</v>
      </c>
      <c r="AN219" s="17">
        <f t="shared" si="336"/>
        <v>8.4424623958333331</v>
      </c>
      <c r="AO219" s="13">
        <f t="shared" si="281"/>
        <v>-29.879168966291548</v>
      </c>
      <c r="AP219" s="13">
        <f t="shared" si="324"/>
        <v>-1.1353950112343947</v>
      </c>
      <c r="AQ219" s="10" t="s">
        <v>240</v>
      </c>
      <c r="AR219" s="10" t="s">
        <v>236</v>
      </c>
      <c r="AS219">
        <v>202.25</v>
      </c>
    </row>
    <row r="220" spans="1:45" ht="14">
      <c r="A220" s="7" t="s">
        <v>148</v>
      </c>
      <c r="B220" s="7" t="s">
        <v>92</v>
      </c>
      <c r="C220" s="4">
        <v>3.9392977297352498</v>
      </c>
      <c r="D220" s="4">
        <f>POWER(10,C220)</f>
        <v>8695.5634765623636</v>
      </c>
      <c r="E220" s="13">
        <f t="shared" si="337"/>
        <v>6.8260173291014556</v>
      </c>
      <c r="F220" s="13">
        <f t="shared" si="338"/>
        <v>-98.681007476803998</v>
      </c>
      <c r="G220" s="13">
        <f t="shared" si="313"/>
        <v>-2.9815635356048831</v>
      </c>
      <c r="H220" s="4">
        <v>4.1978798306173903</v>
      </c>
      <c r="I220" s="9">
        <f t="shared" si="353"/>
        <v>15771.748046874709</v>
      </c>
      <c r="J220" s="13">
        <f t="shared" si="333"/>
        <v>12.380822216796647</v>
      </c>
      <c r="K220" s="13">
        <f t="shared" si="334"/>
        <v>-13.280037096185371</v>
      </c>
      <c r="L220" s="13">
        <f t="shared" si="314"/>
        <v>-0.39574252678347521</v>
      </c>
      <c r="M220" s="3">
        <v>-649</v>
      </c>
      <c r="N220" s="3">
        <v>-505</v>
      </c>
      <c r="O220" s="3">
        <f t="shared" si="351"/>
        <v>144</v>
      </c>
      <c r="P220" s="13">
        <v>0.46899999999999997</v>
      </c>
      <c r="Q220" s="13">
        <f t="shared" si="345"/>
        <v>597.45222929936301</v>
      </c>
      <c r="R220" s="13">
        <f t="shared" si="346"/>
        <v>1.0549086818030795</v>
      </c>
      <c r="S220" s="13">
        <f t="shared" si="315"/>
        <v>4.6057463418641323E-2</v>
      </c>
      <c r="T220" s="43">
        <v>189</v>
      </c>
      <c r="U220" s="43">
        <v>132</v>
      </c>
      <c r="V220" s="4">
        <v>10687</v>
      </c>
      <c r="W220" s="4">
        <v>15891</v>
      </c>
      <c r="X220" s="4">
        <v>14332</v>
      </c>
      <c r="Y220" s="4">
        <v>15715</v>
      </c>
      <c r="Z220" s="4">
        <v>12253</v>
      </c>
      <c r="AA220" s="4">
        <v>7750</v>
      </c>
      <c r="AB220" s="4">
        <v>8825</v>
      </c>
      <c r="AC220" s="4">
        <v>6316</v>
      </c>
      <c r="AD220" s="13">
        <f>10*LOG10(V220/14535)</f>
        <v>-1.3355922671600253</v>
      </c>
      <c r="AE220" s="13">
        <f t="shared" si="317"/>
        <v>3.5950145017236444E-2</v>
      </c>
      <c r="AF220" s="13">
        <f t="shared" si="318"/>
        <v>-0.54813741763976354</v>
      </c>
      <c r="AG220" s="13">
        <f t="shared" si="319"/>
        <v>-0.19085215740291023</v>
      </c>
      <c r="AH220" s="13">
        <f t="shared" si="320"/>
        <v>-0.9483751305447824</v>
      </c>
      <c r="AI220" s="13">
        <f t="shared" si="321"/>
        <v>-2.168211715003439</v>
      </c>
      <c r="AJ220" s="13">
        <f t="shared" si="322"/>
        <v>-1.920823289983264</v>
      </c>
      <c r="AK220" s="15">
        <f t="shared" si="335"/>
        <v>4.9580600000000006</v>
      </c>
      <c r="AL220" s="13">
        <f t="shared" si="280"/>
        <v>-127.34325522482584</v>
      </c>
      <c r="AM220" s="13">
        <f t="shared" si="323"/>
        <v>-3.5668207416861266</v>
      </c>
      <c r="AN220" s="17">
        <f t="shared" si="336"/>
        <v>7.6501030208333329</v>
      </c>
      <c r="AO220" s="13">
        <f t="shared" si="281"/>
        <v>-43.331403121491199</v>
      </c>
      <c r="AP220" s="13">
        <f t="shared" si="324"/>
        <v>-1.5634135235297253</v>
      </c>
      <c r="AQ220" s="10" t="s">
        <v>240</v>
      </c>
      <c r="AR220" s="10" t="s">
        <v>236</v>
      </c>
      <c r="AS220">
        <v>202.25</v>
      </c>
    </row>
    <row r="221" spans="1:45" ht="13" customHeight="1">
      <c r="A221" s="39" t="s">
        <v>223</v>
      </c>
      <c r="B221" s="40" t="s">
        <v>232</v>
      </c>
      <c r="C221" s="37">
        <v>4.4348722902497597</v>
      </c>
      <c r="D221" s="37">
        <f t="shared" ref="D221:D223" si="354">POWER(10,C221)</f>
        <v>27219.007812499814</v>
      </c>
      <c r="E221" s="13">
        <f t="shared" ref="E221:E235" si="355">D221*0.785/1000</f>
        <v>21.366921132812358</v>
      </c>
      <c r="F221" s="13">
        <f t="shared" ref="F221:F234" si="356">(1-13.562/E221)*100</f>
        <v>36.528057010640815</v>
      </c>
      <c r="G221" s="13">
        <f t="shared" ref="G221:G235" si="357">10*LOG10(E221/13.562)</f>
        <v>1.9741820695402215</v>
      </c>
      <c r="H221" s="37">
        <v>4.7814780476473899</v>
      </c>
      <c r="I221" s="9">
        <f t="shared" ref="I221:I223" si="358">POWER(10,H221)</f>
        <v>60461.378906248938</v>
      </c>
      <c r="J221" s="13">
        <f t="shared" ref="J221:J235" si="359">I221*0.785/1000</f>
        <v>47.462182441405417</v>
      </c>
      <c r="K221" s="13">
        <f t="shared" ref="K221:K235" si="360">(1-14.025/J221)*100</f>
        <v>70.450157833945781</v>
      </c>
      <c r="L221" s="13">
        <f t="shared" ref="L221:L235" si="361">10*LOG10(J221/13.562)</f>
        <v>5.4402396435165219</v>
      </c>
      <c r="M221" s="36">
        <v>-571</v>
      </c>
      <c r="N221" s="36">
        <v>-506</v>
      </c>
      <c r="O221" s="3">
        <f t="shared" ref="O221:O235" si="362">N221-M221</f>
        <v>65</v>
      </c>
      <c r="P221" s="41">
        <v>0.255</v>
      </c>
      <c r="Q221" s="13">
        <f t="shared" ref="Q221:Q235" si="363">1000*P221/(0.785)</f>
        <v>324.84076433121015</v>
      </c>
      <c r="R221" s="13">
        <f t="shared" ref="R221:R235" si="364">(1-Q221/603.822)*100</f>
        <v>46.202562289679719</v>
      </c>
      <c r="S221" s="13">
        <f t="shared" ref="S221:S235" si="365">10*LOG10(603.822/Q221)</f>
        <v>2.692384086229922</v>
      </c>
      <c r="T221" s="42">
        <v>126</v>
      </c>
      <c r="U221" s="42">
        <v>121</v>
      </c>
      <c r="V221" s="37">
        <v>30116</v>
      </c>
      <c r="W221" s="37">
        <v>48517</v>
      </c>
      <c r="X221" s="37">
        <v>84285</v>
      </c>
      <c r="Y221" s="37">
        <v>40281</v>
      </c>
      <c r="Z221" s="37">
        <v>42378</v>
      </c>
      <c r="AA221" s="37">
        <v>32396</v>
      </c>
      <c r="AB221" s="37">
        <v>28877</v>
      </c>
      <c r="AC221" s="37">
        <v>27487</v>
      </c>
      <c r="AD221" s="13">
        <f t="shared" ref="AD221:AD235" si="366">10*LOG10(V221/14535)</f>
        <v>3.1638225236218025</v>
      </c>
      <c r="AE221" s="13">
        <f t="shared" ref="AE221:AE235" si="367">10*LOG10(W221/15760)</f>
        <v>4.8833772570781413</v>
      </c>
      <c r="AF221" s="13">
        <f t="shared" ref="AF221:AF235" si="368">10*LOG10(X221/16260)</f>
        <v>7.1462974989253167</v>
      </c>
      <c r="AG221" s="13">
        <f t="shared" ref="AG221:AG235" si="369">10*LOG10(Y221/16421)</f>
        <v>3.8970064254268189</v>
      </c>
      <c r="AH221" s="13">
        <f t="shared" ref="AH221:AH235" si="370">10*LOG10(Z221/15243.33333)</f>
        <v>4.4406051006876082</v>
      </c>
      <c r="AI221" s="13">
        <f t="shared" ref="AI221:AI235" si="371">10*LOG10(AA221/12768)</f>
        <v>4.0436851628731461</v>
      </c>
      <c r="AJ221" s="13">
        <f t="shared" ref="AJ221:AJ235" si="372">10*LOG10(AB221/13734)</f>
        <v>3.227550298033715</v>
      </c>
      <c r="AK221" s="15">
        <f t="shared" ref="AK221:AK235" si="373">AC221*0.785/1000</f>
        <v>21.577295000000003</v>
      </c>
      <c r="AL221" s="13">
        <f t="shared" ref="AL221:AL235" si="374">(1-11.271815/AK221)*100</f>
        <v>47.760759631825955</v>
      </c>
      <c r="AM221" s="13">
        <f t="shared" ref="AM221:AM235" si="375">10*LOG10(AK221/11.271815)</f>
        <v>2.8200314693797699</v>
      </c>
      <c r="AN221" s="17">
        <f t="shared" ref="AN221:AN235" si="376">(0.785/24000)*(AVERAGE(V221:W221)*0.5+AVERAGE(W221:X221)*1+AVERAGE(X221:Y221)*1+AVERAGE(Y221:Z221)*3+AVERAGE(Z221:AA221)*6+AVERAGE(AA221:AB221)*6+AVERAGE(AB221:AC221)*6)</f>
        <v>27.787814322916667</v>
      </c>
      <c r="AO221" s="13">
        <f t="shared" ref="AO221:AO235" si="377">(1-10.965/AN221)*100</f>
        <v>60.54025742155207</v>
      </c>
      <c r="AP221" s="13">
        <f t="shared" ref="AP221:AP235" si="378">10*LOG10(AN221/10.965)</f>
        <v>4.0384575225980957</v>
      </c>
      <c r="AQ221" s="10" t="s">
        <v>238</v>
      </c>
      <c r="AR221" s="10" t="s">
        <v>235</v>
      </c>
      <c r="AS221">
        <v>114.17</v>
      </c>
    </row>
    <row r="222" spans="1:45" ht="14">
      <c r="A222" s="39" t="s">
        <v>223</v>
      </c>
      <c r="B222" s="40" t="s">
        <v>232</v>
      </c>
      <c r="C222" s="37">
        <v>4.4530570719081597</v>
      </c>
      <c r="D222" s="37">
        <f t="shared" si="354"/>
        <v>28382.919921874702</v>
      </c>
      <c r="E222" s="13">
        <f t="shared" si="355"/>
        <v>22.28059213867164</v>
      </c>
      <c r="F222" s="13">
        <f t="shared" si="356"/>
        <v>39.130881640883707</v>
      </c>
      <c r="G222" s="13">
        <f t="shared" si="357"/>
        <v>2.1560298861242195</v>
      </c>
      <c r="H222" s="37">
        <v>4.49644594092607</v>
      </c>
      <c r="I222" s="9">
        <f t="shared" si="358"/>
        <v>31365.046874999651</v>
      </c>
      <c r="J222" s="13">
        <f t="shared" si="359"/>
        <v>24.62156179687473</v>
      </c>
      <c r="K222" s="13">
        <f t="shared" si="360"/>
        <v>43.037732067101345</v>
      </c>
      <c r="L222" s="13">
        <f t="shared" si="361"/>
        <v>2.5899185763033215</v>
      </c>
      <c r="M222" s="36">
        <v>-553</v>
      </c>
      <c r="N222" s="36">
        <v>-489</v>
      </c>
      <c r="O222" s="3">
        <f t="shared" si="362"/>
        <v>64</v>
      </c>
      <c r="P222" s="41">
        <v>0.313</v>
      </c>
      <c r="Q222" s="13">
        <f t="shared" si="363"/>
        <v>398.72611464968151</v>
      </c>
      <c r="R222" s="13">
        <f t="shared" si="364"/>
        <v>33.966282339881374</v>
      </c>
      <c r="S222" s="13">
        <f t="shared" si="365"/>
        <v>1.8023425151049888</v>
      </c>
      <c r="T222" s="42">
        <v>122</v>
      </c>
      <c r="U222" s="42">
        <v>148</v>
      </c>
      <c r="V222" s="37">
        <v>12764</v>
      </c>
      <c r="W222" s="37">
        <v>33488</v>
      </c>
      <c r="X222" s="37">
        <v>30736</v>
      </c>
      <c r="Y222" s="37">
        <v>28407</v>
      </c>
      <c r="Z222" s="37">
        <v>26399</v>
      </c>
      <c r="AA222" s="37">
        <v>25290</v>
      </c>
      <c r="AB222" s="37">
        <v>26430</v>
      </c>
      <c r="AC222" s="37">
        <v>24634</v>
      </c>
      <c r="AD222" s="13">
        <f t="shared" si="366"/>
        <v>-0.56428240584973732</v>
      </c>
      <c r="AE222" s="13">
        <f t="shared" si="367"/>
        <v>3.2733299784107475</v>
      </c>
      <c r="AF222" s="13">
        <f t="shared" si="368"/>
        <v>2.7652680625956902</v>
      </c>
      <c r="AG222" s="13">
        <f t="shared" si="369"/>
        <v>2.380257701777754</v>
      </c>
      <c r="AH222" s="13">
        <f t="shared" si="370"/>
        <v>2.3850752944365263</v>
      </c>
      <c r="AI222" s="13">
        <f t="shared" si="371"/>
        <v>2.9682595533775054</v>
      </c>
      <c r="AJ222" s="13">
        <f t="shared" si="372"/>
        <v>2.8430012007352383</v>
      </c>
      <c r="AK222" s="15">
        <f t="shared" si="373"/>
        <v>19.337690000000002</v>
      </c>
      <c r="AL222" s="13">
        <f t="shared" si="374"/>
        <v>41.710643825606887</v>
      </c>
      <c r="AM222" s="13">
        <f t="shared" si="375"/>
        <v>2.3441074158315525</v>
      </c>
      <c r="AN222" s="17">
        <f t="shared" si="376"/>
        <v>20.2423534375</v>
      </c>
      <c r="AO222" s="13">
        <f t="shared" si="377"/>
        <v>45.831397352805958</v>
      </c>
      <c r="AP222" s="13">
        <f t="shared" si="378"/>
        <v>2.6625236748535142</v>
      </c>
      <c r="AQ222" s="10" t="s">
        <v>238</v>
      </c>
      <c r="AR222" s="10" t="s">
        <v>235</v>
      </c>
      <c r="AS222">
        <v>114.17</v>
      </c>
    </row>
    <row r="223" spans="1:45" ht="14">
      <c r="A223" s="39" t="s">
        <v>223</v>
      </c>
      <c r="B223" s="40" t="s">
        <v>232</v>
      </c>
      <c r="C223" s="37">
        <v>4.4771537124953502</v>
      </c>
      <c r="D223" s="37">
        <f t="shared" si="354"/>
        <v>30002.242187499429</v>
      </c>
      <c r="E223" s="13">
        <f t="shared" si="355"/>
        <v>23.551760117187051</v>
      </c>
      <c r="F223" s="13">
        <f t="shared" si="356"/>
        <v>42.41619338631493</v>
      </c>
      <c r="G223" s="13">
        <f t="shared" si="357"/>
        <v>2.3969962919961212</v>
      </c>
      <c r="H223" s="37">
        <v>4.8070154200418704</v>
      </c>
      <c r="I223" s="9">
        <f t="shared" si="358"/>
        <v>64123.234374998894</v>
      </c>
      <c r="J223" s="13">
        <f t="shared" si="359"/>
        <v>50.336738984374136</v>
      </c>
      <c r="K223" s="13">
        <f t="shared" si="360"/>
        <v>72.137646810307416</v>
      </c>
      <c r="L223" s="13">
        <f t="shared" si="361"/>
        <v>5.6956133674613252</v>
      </c>
      <c r="M223" s="36">
        <v>-548</v>
      </c>
      <c r="N223" s="36">
        <v>-490</v>
      </c>
      <c r="O223" s="3">
        <f t="shared" si="362"/>
        <v>58</v>
      </c>
      <c r="P223" s="41">
        <v>0.32</v>
      </c>
      <c r="Q223" s="13">
        <f t="shared" si="363"/>
        <v>407.64331210191079</v>
      </c>
      <c r="R223" s="13">
        <f t="shared" si="364"/>
        <v>32.489489932147087</v>
      </c>
      <c r="S223" s="13">
        <f t="shared" si="365"/>
        <v>1.7062861073704136</v>
      </c>
      <c r="T223" s="42">
        <v>129</v>
      </c>
      <c r="U223" s="42">
        <v>145</v>
      </c>
      <c r="V223" s="37">
        <v>24607</v>
      </c>
      <c r="W223" s="37">
        <v>20464</v>
      </c>
      <c r="X223" s="37">
        <v>43296</v>
      </c>
      <c r="Y223" s="37">
        <v>34194</v>
      </c>
      <c r="Z223" s="37">
        <v>38943</v>
      </c>
      <c r="AA223" s="37">
        <v>27240</v>
      </c>
      <c r="AB223" s="37">
        <v>32555</v>
      </c>
      <c r="AC223" s="37">
        <v>26521</v>
      </c>
      <c r="AD223" s="13">
        <f t="shared" si="366"/>
        <v>2.2864363314840812</v>
      </c>
      <c r="AE223" s="13">
        <f t="shared" si="367"/>
        <v>1.134343139810422</v>
      </c>
      <c r="AF223" s="13">
        <f t="shared" si="368"/>
        <v>4.2532723365947955</v>
      </c>
      <c r="AG223" s="13">
        <f t="shared" si="369"/>
        <v>3.1855030626358438</v>
      </c>
      <c r="AH223" s="13">
        <f t="shared" si="370"/>
        <v>4.0734945807199905</v>
      </c>
      <c r="AI223" s="13">
        <f t="shared" si="371"/>
        <v>3.2908422923409333</v>
      </c>
      <c r="AJ223" s="13">
        <f t="shared" si="372"/>
        <v>3.7482065662472892</v>
      </c>
      <c r="AK223" s="15">
        <f t="shared" si="373"/>
        <v>20.818985000000001</v>
      </c>
      <c r="AL223" s="13">
        <f t="shared" si="374"/>
        <v>45.857999321292567</v>
      </c>
      <c r="AM223" s="13">
        <f t="shared" si="375"/>
        <v>2.664657000308094</v>
      </c>
      <c r="AN223" s="17">
        <f t="shared" si="376"/>
        <v>24.425283177083333</v>
      </c>
      <c r="AO223" s="13">
        <f t="shared" si="377"/>
        <v>55.107992318845447</v>
      </c>
      <c r="AP223" s="13">
        <f t="shared" si="378"/>
        <v>3.4783097144510062</v>
      </c>
      <c r="AQ223" s="10" t="s">
        <v>238</v>
      </c>
      <c r="AR223" s="10" t="s">
        <v>235</v>
      </c>
      <c r="AS223">
        <v>114.17</v>
      </c>
    </row>
    <row r="224" spans="1:45" ht="14">
      <c r="A224" s="39" t="s">
        <v>224</v>
      </c>
      <c r="B224" s="40" t="s">
        <v>231</v>
      </c>
      <c r="C224" s="37">
        <v>4.7567998410039696</v>
      </c>
      <c r="D224" s="37">
        <f t="shared" ref="D224:D226" si="379">POWER(10,C224)</f>
        <v>57121.531250000022</v>
      </c>
      <c r="E224" s="13">
        <f t="shared" si="355"/>
        <v>44.840402031250022</v>
      </c>
      <c r="F224" s="13">
        <f t="shared" si="356"/>
        <v>69.754954492717488</v>
      </c>
      <c r="G224" s="13">
        <f t="shared" si="357"/>
        <v>5.1934575770823201</v>
      </c>
      <c r="H224" s="37">
        <v>4.5805261461018896</v>
      </c>
      <c r="I224" s="9">
        <f t="shared" ref="I224:I226" si="380">POWER(10,H224)</f>
        <v>38065.027343749985</v>
      </c>
      <c r="J224" s="13">
        <f t="shared" si="359"/>
        <v>29.881046464843742</v>
      </c>
      <c r="K224" s="13">
        <f t="shared" si="360"/>
        <v>53.063892804085768</v>
      </c>
      <c r="L224" s="13">
        <f t="shared" si="361"/>
        <v>3.4307206280615148</v>
      </c>
      <c r="M224" s="36">
        <v>-503</v>
      </c>
      <c r="N224" s="36">
        <v>-454</v>
      </c>
      <c r="O224" s="3">
        <f t="shared" si="362"/>
        <v>49</v>
      </c>
      <c r="P224" s="41">
        <v>0.33</v>
      </c>
      <c r="Q224" s="13">
        <f t="shared" si="363"/>
        <v>420.38216560509551</v>
      </c>
      <c r="R224" s="13">
        <f t="shared" si="364"/>
        <v>30.379786492526684</v>
      </c>
      <c r="S224" s="13">
        <f t="shared" si="365"/>
        <v>1.5726464917905987</v>
      </c>
      <c r="T224" s="42">
        <v>35</v>
      </c>
      <c r="U224" s="42">
        <v>121</v>
      </c>
      <c r="V224" s="37">
        <v>18116</v>
      </c>
      <c r="W224" s="37">
        <v>33331</v>
      </c>
      <c r="X224" s="37">
        <v>87701</v>
      </c>
      <c r="Y224" s="37">
        <v>47812</v>
      </c>
      <c r="Z224" s="37">
        <v>65665</v>
      </c>
      <c r="AA224" s="37">
        <v>34114</v>
      </c>
      <c r="AB224" s="37">
        <v>34641</v>
      </c>
      <c r="AC224" s="37">
        <v>54631</v>
      </c>
      <c r="AD224" s="13">
        <f t="shared" si="366"/>
        <v>0.95647275904473028</v>
      </c>
      <c r="AE224" s="13">
        <f t="shared" si="367"/>
        <v>3.2529213044899663</v>
      </c>
      <c r="AF224" s="13">
        <f t="shared" si="368"/>
        <v>7.3188400412630239</v>
      </c>
      <c r="AG224" s="13">
        <f t="shared" si="369"/>
        <v>4.6413730973841485</v>
      </c>
      <c r="AH224" s="13">
        <f t="shared" si="370"/>
        <v>6.3425400203340949</v>
      </c>
      <c r="AI224" s="13">
        <f t="shared" si="371"/>
        <v>4.2680977111397018</v>
      </c>
      <c r="AJ224" s="13">
        <f t="shared" si="372"/>
        <v>4.0179337747572932</v>
      </c>
      <c r="AK224" s="15">
        <f t="shared" si="373"/>
        <v>42.885334999999998</v>
      </c>
      <c r="AL224" s="13">
        <f t="shared" si="374"/>
        <v>73.71638813128078</v>
      </c>
      <c r="AM224" s="13">
        <f t="shared" si="375"/>
        <v>5.8031495468035343</v>
      </c>
      <c r="AN224" s="17">
        <f t="shared" si="376"/>
        <v>35.480945156250002</v>
      </c>
      <c r="AO224" s="13">
        <f t="shared" si="377"/>
        <v>69.096088191245641</v>
      </c>
      <c r="AP224" s="13">
        <f t="shared" si="378"/>
        <v>5.0998654421820593</v>
      </c>
      <c r="AQ224" s="10" t="s">
        <v>238</v>
      </c>
      <c r="AR224" s="10" t="s">
        <v>235</v>
      </c>
      <c r="AS224">
        <v>133.19999999999999</v>
      </c>
    </row>
    <row r="225" spans="1:45" ht="14">
      <c r="A225" s="39" t="s">
        <v>224</v>
      </c>
      <c r="B225" s="40" t="s">
        <v>231</v>
      </c>
      <c r="C225" s="37">
        <v>4.8034993651200999</v>
      </c>
      <c r="D225" s="37">
        <f t="shared" si="379"/>
        <v>63606.187499999251</v>
      </c>
      <c r="E225" s="13">
        <f t="shared" si="355"/>
        <v>49.930857187499413</v>
      </c>
      <c r="F225" s="13">
        <f t="shared" si="356"/>
        <v>72.838439466255835</v>
      </c>
      <c r="G225" s="13">
        <f t="shared" si="357"/>
        <v>5.6604528182436216</v>
      </c>
      <c r="H225" s="37">
        <v>4.7885835849455596</v>
      </c>
      <c r="I225" s="9">
        <f t="shared" si="380"/>
        <v>61458.730468749578</v>
      </c>
      <c r="J225" s="13">
        <f t="shared" si="359"/>
        <v>48.245103417968423</v>
      </c>
      <c r="K225" s="13">
        <f t="shared" si="360"/>
        <v>70.929692328576238</v>
      </c>
      <c r="L225" s="13">
        <f t="shared" si="361"/>
        <v>5.511295016498222</v>
      </c>
      <c r="M225" s="36">
        <v>-513</v>
      </c>
      <c r="N225" s="36">
        <v>-474</v>
      </c>
      <c r="O225" s="3">
        <f t="shared" si="362"/>
        <v>39</v>
      </c>
      <c r="P225" s="41">
        <v>0.33500000000000002</v>
      </c>
      <c r="Q225" s="13">
        <f t="shared" si="363"/>
        <v>426.75159235668787</v>
      </c>
      <c r="R225" s="13">
        <f t="shared" si="364"/>
        <v>29.324934772716482</v>
      </c>
      <c r="S225" s="13">
        <f t="shared" si="365"/>
        <v>1.5073378202010215</v>
      </c>
      <c r="T225" s="42">
        <v>40</v>
      </c>
      <c r="U225" s="42">
        <v>146</v>
      </c>
      <c r="V225" s="37">
        <v>15602</v>
      </c>
      <c r="W225" s="37">
        <v>22894</v>
      </c>
      <c r="X225" s="37">
        <v>41242</v>
      </c>
      <c r="Y225" s="37">
        <v>91768</v>
      </c>
      <c r="Z225" s="37">
        <v>37598</v>
      </c>
      <c r="AA225" s="37">
        <v>28701</v>
      </c>
      <c r="AB225" s="37">
        <v>33817</v>
      </c>
      <c r="AC225" s="37">
        <v>71885</v>
      </c>
      <c r="AD225" s="13">
        <f t="shared" si="366"/>
        <v>0.30765237458898675</v>
      </c>
      <c r="AE225" s="13">
        <f t="shared" si="367"/>
        <v>1.6216546532967466</v>
      </c>
      <c r="AF225" s="13">
        <f t="shared" si="368"/>
        <v>4.0421917665077869</v>
      </c>
      <c r="AG225" s="13">
        <f t="shared" si="369"/>
        <v>7.4729166566080778</v>
      </c>
      <c r="AH225" s="13">
        <f t="shared" si="370"/>
        <v>3.9208479697689294</v>
      </c>
      <c r="AI225" s="13">
        <f t="shared" si="371"/>
        <v>3.5177415467562989</v>
      </c>
      <c r="AJ225" s="13">
        <f t="shared" si="372"/>
        <v>3.9133803444259003</v>
      </c>
      <c r="AK225" s="15">
        <f t="shared" si="373"/>
        <v>56.429725000000005</v>
      </c>
      <c r="AL225" s="13">
        <f t="shared" si="374"/>
        <v>80.025039994435559</v>
      </c>
      <c r="AM225" s="13">
        <f t="shared" si="375"/>
        <v>6.9951408156991892</v>
      </c>
      <c r="AN225" s="17">
        <f t="shared" si="376"/>
        <v>32.898139791666665</v>
      </c>
      <c r="AO225" s="13">
        <f t="shared" si="377"/>
        <v>66.669847993115056</v>
      </c>
      <c r="AP225" s="13">
        <f t="shared" si="378"/>
        <v>4.7716270567337924</v>
      </c>
      <c r="AQ225" s="10" t="s">
        <v>238</v>
      </c>
      <c r="AR225" s="10" t="s">
        <v>235</v>
      </c>
      <c r="AS225">
        <v>133.19999999999999</v>
      </c>
    </row>
    <row r="226" spans="1:45" ht="13" customHeight="1">
      <c r="A226" s="39" t="s">
        <v>224</v>
      </c>
      <c r="B226" s="40" t="s">
        <v>231</v>
      </c>
      <c r="C226" s="37">
        <v>4.5553031720275499</v>
      </c>
      <c r="D226" s="37">
        <f t="shared" si="379"/>
        <v>35917.257812499389</v>
      </c>
      <c r="E226" s="13">
        <f t="shared" si="355"/>
        <v>28.195047382812024</v>
      </c>
      <c r="F226" s="13">
        <f t="shared" si="356"/>
        <v>51.899353755768018</v>
      </c>
      <c r="G226" s="13">
        <f t="shared" si="357"/>
        <v>3.1784908873181212</v>
      </c>
      <c r="H226" s="37">
        <v>4.9272264807645598</v>
      </c>
      <c r="I226" s="9">
        <f t="shared" si="380"/>
        <v>84571.976562499709</v>
      </c>
      <c r="J226" s="13">
        <f t="shared" si="359"/>
        <v>66.389001601562271</v>
      </c>
      <c r="K226" s="13">
        <f t="shared" si="360"/>
        <v>78.874512853541745</v>
      </c>
      <c r="L226" s="13">
        <f t="shared" si="361"/>
        <v>6.8977239746882173</v>
      </c>
      <c r="M226" s="36">
        <v>-524</v>
      </c>
      <c r="N226" s="36">
        <v>-471</v>
      </c>
      <c r="O226" s="3">
        <f t="shared" si="362"/>
        <v>53</v>
      </c>
      <c r="P226" s="41">
        <v>0.29899999999999999</v>
      </c>
      <c r="Q226" s="13">
        <f t="shared" si="363"/>
        <v>380.89171974522293</v>
      </c>
      <c r="R226" s="13">
        <f t="shared" si="364"/>
        <v>36.919867155349927</v>
      </c>
      <c r="S226" s="13">
        <f t="shared" si="365"/>
        <v>2.0010740073251769</v>
      </c>
      <c r="T226" s="42">
        <v>42</v>
      </c>
      <c r="U226" s="42">
        <v>153</v>
      </c>
      <c r="V226" s="37">
        <v>16430</v>
      </c>
      <c r="W226" s="37">
        <v>22082</v>
      </c>
      <c r="X226" s="37">
        <v>39357</v>
      </c>
      <c r="Y226" s="37">
        <v>67012</v>
      </c>
      <c r="Z226" s="37">
        <v>27020</v>
      </c>
      <c r="AA226" s="37">
        <v>24373</v>
      </c>
      <c r="AB226" s="37">
        <v>24904</v>
      </c>
      <c r="AC226" s="37">
        <v>43072</v>
      </c>
      <c r="AD226" s="13">
        <f t="shared" si="366"/>
        <v>0.53222527328615188</v>
      </c>
      <c r="AE226" s="13">
        <f t="shared" si="367"/>
        <v>1.4648219239039626</v>
      </c>
      <c r="AF226" s="13">
        <f t="shared" si="368"/>
        <v>3.8390144552613252</v>
      </c>
      <c r="AG226" s="13">
        <f t="shared" si="369"/>
        <v>6.1075297872834007</v>
      </c>
      <c r="AH226" s="13">
        <f t="shared" si="370"/>
        <v>2.4860539811996158</v>
      </c>
      <c r="AI226" s="13">
        <f t="shared" si="371"/>
        <v>2.8078611448288742</v>
      </c>
      <c r="AJ226" s="13">
        <f t="shared" si="372"/>
        <v>2.5847206461627232</v>
      </c>
      <c r="AK226" s="15">
        <f t="shared" si="373"/>
        <v>33.811520000000002</v>
      </c>
      <c r="AL226" s="13">
        <f t="shared" si="374"/>
        <v>66.662797176820206</v>
      </c>
      <c r="AM226" s="13">
        <f t="shared" si="375"/>
        <v>4.7707084270299474</v>
      </c>
      <c r="AN226" s="17">
        <f t="shared" si="376"/>
        <v>24.221109583333334</v>
      </c>
      <c r="AO226" s="13">
        <f t="shared" si="377"/>
        <v>54.729571895644824</v>
      </c>
      <c r="AP226" s="13">
        <f t="shared" si="378"/>
        <v>3.4418539853589349</v>
      </c>
      <c r="AQ226" s="10" t="s">
        <v>238</v>
      </c>
      <c r="AR226" s="10" t="s">
        <v>235</v>
      </c>
      <c r="AS226">
        <v>133.19999999999999</v>
      </c>
    </row>
    <row r="227" spans="1:45" ht="14">
      <c r="A227" s="39" t="s">
        <v>225</v>
      </c>
      <c r="B227" s="40" t="s">
        <v>230</v>
      </c>
      <c r="C227" s="37">
        <v>3.9816874166402898</v>
      </c>
      <c r="D227" s="37">
        <f t="shared" ref="D227:D229" si="381">POWER(10,C227)</f>
        <v>9587.1035156248381</v>
      </c>
      <c r="E227" s="13">
        <f t="shared" si="355"/>
        <v>7.5258762597654982</v>
      </c>
      <c r="F227" s="13">
        <f>(1-13.562/E227)*100</f>
        <v>-80.20492939147239</v>
      </c>
      <c r="G227" s="13">
        <f t="shared" si="357"/>
        <v>-2.5576666665544772</v>
      </c>
      <c r="H227" s="37">
        <v>4.2503133884561297</v>
      </c>
      <c r="I227" s="9">
        <f t="shared" ref="I227:I229" si="382">POWER(10,H227)</f>
        <v>17795.630859374731</v>
      </c>
      <c r="J227" s="13">
        <f t="shared" si="359"/>
        <v>13.969570224609164</v>
      </c>
      <c r="K227" s="13">
        <f t="shared" si="360"/>
        <v>-0.39678941083807207</v>
      </c>
      <c r="L227" s="13">
        <f t="shared" si="361"/>
        <v>0.12859305160391682</v>
      </c>
      <c r="M227" s="36">
        <v>-582</v>
      </c>
      <c r="N227" s="36">
        <v>-498</v>
      </c>
      <c r="O227" s="3">
        <f t="shared" si="362"/>
        <v>84</v>
      </c>
      <c r="P227" s="41">
        <v>0.51700000000000002</v>
      </c>
      <c r="Q227" s="13">
        <f t="shared" si="363"/>
        <v>658.59872611464971</v>
      </c>
      <c r="R227" s="13">
        <f t="shared" si="364"/>
        <v>-9.0716678283748742</v>
      </c>
      <c r="S227" s="13">
        <f t="shared" si="365"/>
        <v>-0.37711954036995166</v>
      </c>
      <c r="T227" s="42">
        <v>132</v>
      </c>
      <c r="U227" s="42">
        <v>127</v>
      </c>
      <c r="V227" s="37">
        <v>15251</v>
      </c>
      <c r="W227" s="37">
        <v>18122</v>
      </c>
      <c r="X227" s="37">
        <v>20052</v>
      </c>
      <c r="Y227" s="37">
        <v>20363</v>
      </c>
      <c r="Z227" s="37">
        <v>17455</v>
      </c>
      <c r="AA227" s="37">
        <v>9363</v>
      </c>
      <c r="AB227" s="37">
        <v>7901</v>
      </c>
      <c r="AC227" s="37">
        <v>7710</v>
      </c>
      <c r="AD227" s="13">
        <f t="shared" si="366"/>
        <v>0.20883284969365473</v>
      </c>
      <c r="AE227" s="13">
        <f t="shared" si="367"/>
        <v>0.60649912915290893</v>
      </c>
      <c r="AF227" s="13">
        <f t="shared" si="368"/>
        <v>0.91037154682966792</v>
      </c>
      <c r="AG227" s="13">
        <f t="shared" si="369"/>
        <v>0.93442160167426169</v>
      </c>
      <c r="AH227" s="13">
        <f t="shared" si="370"/>
        <v>0.58839906584147472</v>
      </c>
      <c r="AI227" s="13">
        <f t="shared" si="371"/>
        <v>-1.3470785062165911</v>
      </c>
      <c r="AJ227" s="13">
        <f t="shared" si="372"/>
        <v>-2.4011498126176662</v>
      </c>
      <c r="AK227" s="15">
        <f t="shared" si="373"/>
        <v>6.0523500000000006</v>
      </c>
      <c r="AL227" s="13">
        <f t="shared" si="374"/>
        <v>-86.238651102464317</v>
      </c>
      <c r="AM227" s="13">
        <f t="shared" si="375"/>
        <v>-2.7006981745391236</v>
      </c>
      <c r="AN227" s="17">
        <f t="shared" si="376"/>
        <v>9.2709726562500006</v>
      </c>
      <c r="AO227" s="13">
        <f t="shared" si="377"/>
        <v>-18.272379895414481</v>
      </c>
      <c r="AP227" s="13">
        <f t="shared" si="378"/>
        <v>-0.72883335840726349</v>
      </c>
      <c r="AQ227" s="10" t="s">
        <v>239</v>
      </c>
      <c r="AR227" s="10" t="s">
        <v>236</v>
      </c>
      <c r="AS227">
        <v>60.06</v>
      </c>
    </row>
    <row r="228" spans="1:45" ht="14">
      <c r="A228" s="39" t="s">
        <v>225</v>
      </c>
      <c r="B228" s="40" t="s">
        <v>230</v>
      </c>
      <c r="C228" s="37">
        <v>4.1408333118539096</v>
      </c>
      <c r="D228" s="37">
        <f t="shared" si="381"/>
        <v>13830.354492187396</v>
      </c>
      <c r="E228" s="13">
        <f t="shared" si="355"/>
        <v>10.856828276367107</v>
      </c>
      <c r="F228" s="13">
        <f t="shared" si="356"/>
        <v>-24.916777301538872</v>
      </c>
      <c r="G228" s="13">
        <f t="shared" si="357"/>
        <v>-0.96620771441827846</v>
      </c>
      <c r="H228" s="37">
        <v>4.3512610027103698</v>
      </c>
      <c r="I228" s="9">
        <f t="shared" si="382"/>
        <v>22452.308593749942</v>
      </c>
      <c r="J228" s="13">
        <f t="shared" si="359"/>
        <v>17.625062246093705</v>
      </c>
      <c r="K228" s="13">
        <f t="shared" si="360"/>
        <v>20.425812946513688</v>
      </c>
      <c r="L228" s="13">
        <f t="shared" si="361"/>
        <v>1.1380691941463168</v>
      </c>
      <c r="M228" s="36">
        <v>-530</v>
      </c>
      <c r="N228" s="36">
        <v>-508</v>
      </c>
      <c r="O228" s="3">
        <f t="shared" si="362"/>
        <v>22</v>
      </c>
      <c r="P228" s="41">
        <v>0.38300000000000001</v>
      </c>
      <c r="Q228" s="13">
        <f t="shared" si="363"/>
        <v>487.8980891719745</v>
      </c>
      <c r="R228" s="13">
        <f t="shared" si="364"/>
        <v>19.198358262538552</v>
      </c>
      <c r="S228" s="13">
        <f t="shared" si="365"/>
        <v>0.92579815088324569</v>
      </c>
      <c r="T228" s="42">
        <v>25</v>
      </c>
      <c r="U228" s="42">
        <v>183</v>
      </c>
      <c r="V228" s="37">
        <v>19671</v>
      </c>
      <c r="W228" s="37">
        <v>25760</v>
      </c>
      <c r="X228" s="37">
        <v>24104</v>
      </c>
      <c r="Y228" s="37">
        <v>21199</v>
      </c>
      <c r="Z228" s="37">
        <v>15754</v>
      </c>
      <c r="AA228" s="37">
        <v>13390</v>
      </c>
      <c r="AB228" s="37">
        <v>12303</v>
      </c>
      <c r="AC228" s="37">
        <v>10158</v>
      </c>
      <c r="AD228" s="13">
        <f t="shared" si="366"/>
        <v>1.3141140227973123</v>
      </c>
      <c r="AE228" s="13">
        <f t="shared" si="367"/>
        <v>2.1338964553423798</v>
      </c>
      <c r="AF228" s="13">
        <f t="shared" si="368"/>
        <v>1.7096857740725133</v>
      </c>
      <c r="AG228" s="13">
        <f t="shared" si="369"/>
        <v>1.1091577376292674</v>
      </c>
      <c r="AH228" s="13">
        <f t="shared" si="370"/>
        <v>0.14310894567247393</v>
      </c>
      <c r="AI228" s="13">
        <f t="shared" si="371"/>
        <v>0.20657703005354802</v>
      </c>
      <c r="AJ228" s="13">
        <f t="shared" si="372"/>
        <v>-0.47786019051039386</v>
      </c>
      <c r="AK228" s="15">
        <f t="shared" si="373"/>
        <v>7.9740300000000008</v>
      </c>
      <c r="AL228" s="13">
        <f t="shared" si="374"/>
        <v>-41.356566253199432</v>
      </c>
      <c r="AM228" s="13">
        <f t="shared" si="375"/>
        <v>-1.5031598701229036</v>
      </c>
      <c r="AN228" s="17">
        <f t="shared" si="376"/>
        <v>11.325742864583333</v>
      </c>
      <c r="AO228" s="13">
        <f t="shared" si="377"/>
        <v>3.185158526876064</v>
      </c>
      <c r="AP228" s="13">
        <f t="shared" si="378"/>
        <v>0.14058061329923296</v>
      </c>
      <c r="AQ228" s="10" t="s">
        <v>239</v>
      </c>
      <c r="AR228" s="10" t="s">
        <v>236</v>
      </c>
      <c r="AS228">
        <v>60.06</v>
      </c>
    </row>
    <row r="229" spans="1:45" ht="14">
      <c r="A229" s="39" t="s">
        <v>225</v>
      </c>
      <c r="B229" s="40" t="s">
        <v>230</v>
      </c>
      <c r="C229" s="37">
        <v>4.3410041672828701</v>
      </c>
      <c r="D229" s="37">
        <f t="shared" si="381"/>
        <v>21928.259765625029</v>
      </c>
      <c r="E229" s="13">
        <f t="shared" si="355"/>
        <v>17.213683916015647</v>
      </c>
      <c r="F229" s="13">
        <f t="shared" si="356"/>
        <v>21.213843206555648</v>
      </c>
      <c r="G229" s="13">
        <f t="shared" si="357"/>
        <v>1.0355008398713221</v>
      </c>
      <c r="H229" s="37">
        <v>4.2202040400051102</v>
      </c>
      <c r="I229" s="9">
        <f t="shared" si="382"/>
        <v>16603.667968749822</v>
      </c>
      <c r="J229" s="13">
        <f t="shared" si="359"/>
        <v>13.033879355468612</v>
      </c>
      <c r="K229" s="13">
        <f t="shared" si="360"/>
        <v>-7.6041876520480889</v>
      </c>
      <c r="L229" s="13">
        <f t="shared" si="361"/>
        <v>-0.17250043290627876</v>
      </c>
      <c r="M229" s="36">
        <v>-526</v>
      </c>
      <c r="N229" s="36">
        <v>-488</v>
      </c>
      <c r="O229" s="3">
        <f t="shared" si="362"/>
        <v>38</v>
      </c>
      <c r="P229" s="41">
        <v>0.26300000000000001</v>
      </c>
      <c r="Q229" s="13">
        <f t="shared" si="363"/>
        <v>335.03184713375794</v>
      </c>
      <c r="R229" s="13">
        <f t="shared" si="364"/>
        <v>44.514799537983386</v>
      </c>
      <c r="S229" s="13">
        <f t="shared" si="365"/>
        <v>2.5582284056718945</v>
      </c>
      <c r="T229" s="42">
        <v>29</v>
      </c>
      <c r="U229" s="42">
        <v>240</v>
      </c>
      <c r="V229" s="37">
        <v>11106</v>
      </c>
      <c r="W229" s="37">
        <v>18411</v>
      </c>
      <c r="X229" s="37">
        <v>24920</v>
      </c>
      <c r="Y229" s="37">
        <v>19736</v>
      </c>
      <c r="Z229" s="37">
        <v>15224</v>
      </c>
      <c r="AA229" s="37">
        <v>8921</v>
      </c>
      <c r="AB229" s="37">
        <v>15645</v>
      </c>
      <c r="AC229" s="37">
        <v>12603</v>
      </c>
      <c r="AD229" s="13">
        <f t="shared" si="366"/>
        <v>-1.1685736696989883</v>
      </c>
      <c r="AE229" s="13">
        <f t="shared" si="367"/>
        <v>0.6752116485005778</v>
      </c>
      <c r="AF229" s="13">
        <f t="shared" si="368"/>
        <v>1.8542749672908263</v>
      </c>
      <c r="AG229" s="13">
        <f t="shared" si="369"/>
        <v>0.79859535387789771</v>
      </c>
      <c r="AH229" s="13">
        <f t="shared" si="370"/>
        <v>-5.5117128708613624E-3</v>
      </c>
      <c r="AI229" s="13">
        <f t="shared" si="371"/>
        <v>-1.5570933463727312</v>
      </c>
      <c r="AJ229" s="13">
        <f t="shared" si="372"/>
        <v>0.56578524424025578</v>
      </c>
      <c r="AK229" s="15">
        <f t="shared" si="373"/>
        <v>9.8933549999999997</v>
      </c>
      <c r="AL229" s="13">
        <f t="shared" si="374"/>
        <v>-13.933190510195992</v>
      </c>
      <c r="AM229" s="13">
        <f t="shared" si="375"/>
        <v>-0.56650259247214918</v>
      </c>
      <c r="AN229" s="17">
        <f t="shared" si="376"/>
        <v>10.94714390625</v>
      </c>
      <c r="AO229" s="13">
        <f t="shared" si="377"/>
        <v>-0.16311189386855052</v>
      </c>
      <c r="AP229" s="13">
        <f t="shared" si="378"/>
        <v>-7.0780885099024932E-3</v>
      </c>
      <c r="AQ229" s="10" t="s">
        <v>239</v>
      </c>
      <c r="AR229" s="10" t="s">
        <v>236</v>
      </c>
      <c r="AS229">
        <v>60.06</v>
      </c>
    </row>
    <row r="230" spans="1:45" ht="14">
      <c r="A230" s="39" t="s">
        <v>226</v>
      </c>
      <c r="B230" s="40" t="s">
        <v>228</v>
      </c>
      <c r="C230" s="37">
        <v>5.5535000827751499</v>
      </c>
      <c r="D230" s="37">
        <f t="shared" ref="D230:D232" si="383">POWER(10,C230)</f>
        <v>357684.46874999406</v>
      </c>
      <c r="E230" s="13">
        <f t="shared" si="355"/>
        <v>280.78230796874539</v>
      </c>
      <c r="F230" s="13">
        <f t="shared" si="356"/>
        <v>95.169923597355137</v>
      </c>
      <c r="G230" s="13">
        <f t="shared" si="357"/>
        <v>13.160459994794124</v>
      </c>
      <c r="H230" s="37">
        <v>5.2622280263917096</v>
      </c>
      <c r="I230" s="9">
        <f t="shared" ref="I230:I232" si="384">POWER(10,H230)</f>
        <v>182906.03124999866</v>
      </c>
      <c r="J230" s="13">
        <f t="shared" si="359"/>
        <v>143.58123453124895</v>
      </c>
      <c r="K230" s="13">
        <f t="shared" si="360"/>
        <v>90.232010439395125</v>
      </c>
      <c r="L230" s="13">
        <f t="shared" si="361"/>
        <v>10.247739430959719</v>
      </c>
      <c r="M230" s="36">
        <v>-617</v>
      </c>
      <c r="N230" s="36">
        <v>-400</v>
      </c>
      <c r="O230" s="3">
        <f t="shared" si="362"/>
        <v>217</v>
      </c>
      <c r="P230" s="41">
        <v>4.7E-2</v>
      </c>
      <c r="Q230" s="13">
        <f t="shared" si="363"/>
        <v>59.872611464968152</v>
      </c>
      <c r="R230" s="13">
        <f t="shared" si="364"/>
        <v>90.084393833784105</v>
      </c>
      <c r="S230" s="13">
        <f t="shared" si="365"/>
        <v>10.0368073112123</v>
      </c>
      <c r="T230" s="42">
        <v>192</v>
      </c>
      <c r="U230" s="42">
        <v>121</v>
      </c>
      <c r="V230" s="37">
        <v>86774</v>
      </c>
      <c r="W230" s="37">
        <v>83993</v>
      </c>
      <c r="X230" s="37">
        <v>86120</v>
      </c>
      <c r="Y230" s="37">
        <v>93152</v>
      </c>
      <c r="Z230" s="37">
        <v>154206</v>
      </c>
      <c r="AA230" s="37">
        <v>251445</v>
      </c>
      <c r="AB230" s="37">
        <v>276524</v>
      </c>
      <c r="AC230" s="37">
        <v>235549</v>
      </c>
      <c r="AD230" s="13">
        <f t="shared" si="366"/>
        <v>7.7597458137403166</v>
      </c>
      <c r="AE230" s="13">
        <f t="shared" si="367"/>
        <v>7.2668688019346916</v>
      </c>
      <c r="AF230" s="13">
        <f t="shared" si="368"/>
        <v>7.2398347989340017</v>
      </c>
      <c r="AG230" s="13">
        <f t="shared" si="369"/>
        <v>7.5379258266482694</v>
      </c>
      <c r="AH230" s="13">
        <f t="shared" si="370"/>
        <v>10.050213254381026</v>
      </c>
      <c r="AI230" s="13">
        <f t="shared" si="371"/>
        <v>12.943201300624441</v>
      </c>
      <c r="AJ230" s="13">
        <f t="shared" si="372"/>
        <v>13.039357873935051</v>
      </c>
      <c r="AK230" s="15">
        <f t="shared" si="373"/>
        <v>184.90596500000001</v>
      </c>
      <c r="AL230" s="13">
        <f t="shared" si="374"/>
        <v>93.904028461169446</v>
      </c>
      <c r="AM230" s="13">
        <f t="shared" si="375"/>
        <v>12.149570693189958</v>
      </c>
      <c r="AN230" s="17">
        <f t="shared" si="376"/>
        <v>161.10490401041667</v>
      </c>
      <c r="AO230" s="13">
        <f t="shared" si="377"/>
        <v>93.193875712628198</v>
      </c>
      <c r="AP230" s="13">
        <f t="shared" si="378"/>
        <v>11.671001244692869</v>
      </c>
      <c r="AQ230" s="10" t="s">
        <v>238</v>
      </c>
      <c r="AR230" s="10" t="s">
        <v>235</v>
      </c>
      <c r="AS230">
        <v>189.2</v>
      </c>
    </row>
    <row r="231" spans="1:45" ht="13" customHeight="1">
      <c r="A231" s="39" t="s">
        <v>226</v>
      </c>
      <c r="B231" s="40" t="s">
        <v>228</v>
      </c>
      <c r="C231" s="37">
        <v>5.23276235229946</v>
      </c>
      <c r="D231" s="37">
        <f t="shared" si="383"/>
        <v>170907.98437499805</v>
      </c>
      <c r="E231" s="13">
        <f t="shared" si="355"/>
        <v>134.16276773437349</v>
      </c>
      <c r="F231" s="13">
        <f t="shared" si="356"/>
        <v>89.891383258542206</v>
      </c>
      <c r="G231" s="13">
        <f t="shared" si="357"/>
        <v>9.9530826900372258</v>
      </c>
      <c r="H231" s="37">
        <v>5.0009174612752298</v>
      </c>
      <c r="I231" s="9">
        <f t="shared" si="384"/>
        <v>100211.47656249849</v>
      </c>
      <c r="J231" s="13">
        <f t="shared" si="359"/>
        <v>78.666009101561315</v>
      </c>
      <c r="K231" s="13">
        <f t="shared" si="360"/>
        <v>82.171461142902132</v>
      </c>
      <c r="L231" s="13">
        <f t="shared" si="361"/>
        <v>7.6346337797949193</v>
      </c>
      <c r="M231" s="36">
        <v>-598</v>
      </c>
      <c r="N231" s="36">
        <v>-461</v>
      </c>
      <c r="O231" s="3">
        <f t="shared" si="362"/>
        <v>137</v>
      </c>
      <c r="P231" s="41">
        <v>0.159</v>
      </c>
      <c r="Q231" s="13">
        <f t="shared" si="363"/>
        <v>202.54777070063693</v>
      </c>
      <c r="R231" s="13">
        <f t="shared" si="364"/>
        <v>66.455715310035572</v>
      </c>
      <c r="S231" s="13">
        <f t="shared" si="365"/>
        <v>4.7438146473649585</v>
      </c>
      <c r="T231" s="42">
        <v>170</v>
      </c>
      <c r="U231" s="42">
        <v>130</v>
      </c>
      <c r="V231" s="37">
        <v>84781</v>
      </c>
      <c r="W231" s="37">
        <v>75192</v>
      </c>
      <c r="X231" s="37">
        <v>73866</v>
      </c>
      <c r="Y231" s="37">
        <v>90050</v>
      </c>
      <c r="Z231" s="37">
        <v>116303</v>
      </c>
      <c r="AA231" s="37">
        <v>141303</v>
      </c>
      <c r="AB231" s="37">
        <v>141297</v>
      </c>
      <c r="AC231" s="37">
        <v>148596</v>
      </c>
      <c r="AD231" s="13">
        <f t="shared" si="366"/>
        <v>7.6588349870089871</v>
      </c>
      <c r="AE231" s="13">
        <f t="shared" si="367"/>
        <v>6.7861542343977463</v>
      </c>
      <c r="AF231" s="13">
        <f t="shared" si="368"/>
        <v>6.5732404043570449</v>
      </c>
      <c r="AG231" s="13">
        <f t="shared" si="369"/>
        <v>7.3908411606166222</v>
      </c>
      <c r="AH231" s="13">
        <f t="shared" si="370"/>
        <v>8.8251097079904319</v>
      </c>
      <c r="AI231" s="13">
        <f t="shared" si="371"/>
        <v>10.440285084336587</v>
      </c>
      <c r="AJ231" s="13">
        <f t="shared" si="372"/>
        <v>10.123358980028494</v>
      </c>
      <c r="AK231" s="15">
        <f t="shared" si="373"/>
        <v>116.64785999999999</v>
      </c>
      <c r="AL231" s="13">
        <f t="shared" si="374"/>
        <v>90.336886591832894</v>
      </c>
      <c r="AM231" s="13">
        <f t="shared" si="375"/>
        <v>10.148829234667353</v>
      </c>
      <c r="AN231" s="17">
        <f t="shared" si="376"/>
        <v>98.004199947916661</v>
      </c>
      <c r="AO231" s="13">
        <f t="shared" si="377"/>
        <v>88.811703982250506</v>
      </c>
      <c r="AP231" s="13">
        <f t="shared" si="378"/>
        <v>9.5123605166997436</v>
      </c>
      <c r="AQ231" s="10" t="s">
        <v>238</v>
      </c>
      <c r="AR231" s="10" t="s">
        <v>235</v>
      </c>
      <c r="AS231">
        <v>189.2</v>
      </c>
    </row>
    <row r="232" spans="1:45" ht="14">
      <c r="A232" s="39" t="s">
        <v>226</v>
      </c>
      <c r="B232" s="40" t="s">
        <v>228</v>
      </c>
      <c r="C232" s="37">
        <v>5.5694789952869597</v>
      </c>
      <c r="D232" s="37">
        <f t="shared" si="383"/>
        <v>371089.78124999575</v>
      </c>
      <c r="E232" s="13">
        <f t="shared" si="355"/>
        <v>291.30547828124668</v>
      </c>
      <c r="F232" s="13">
        <f t="shared" si="356"/>
        <v>95.344406126510847</v>
      </c>
      <c r="G232" s="13">
        <f t="shared" si="357"/>
        <v>13.320249119912223</v>
      </c>
      <c r="H232" s="37">
        <v>5.1565217515282002</v>
      </c>
      <c r="I232" s="9">
        <f t="shared" si="384"/>
        <v>143390.9531250002</v>
      </c>
      <c r="J232" s="13">
        <f t="shared" si="359"/>
        <v>112.56189820312517</v>
      </c>
      <c r="K232" s="13">
        <f t="shared" si="360"/>
        <v>87.540188799329783</v>
      </c>
      <c r="L232" s="13">
        <f t="shared" si="361"/>
        <v>9.1906766823246233</v>
      </c>
      <c r="M232" s="36">
        <v>-567</v>
      </c>
      <c r="N232" s="36">
        <v>-459</v>
      </c>
      <c r="O232" s="3">
        <f t="shared" si="362"/>
        <v>108</v>
      </c>
      <c r="P232" s="41">
        <v>3.6999999999999998E-2</v>
      </c>
      <c r="Q232" s="13">
        <f t="shared" si="363"/>
        <v>47.133757961783438</v>
      </c>
      <c r="R232" s="13">
        <f t="shared" si="364"/>
        <v>92.194097273404509</v>
      </c>
      <c r="S232" s="13">
        <f t="shared" si="365"/>
        <v>11.075768649899524</v>
      </c>
      <c r="T232" s="42">
        <v>147</v>
      </c>
      <c r="U232" s="42">
        <v>112</v>
      </c>
      <c r="V232" s="37">
        <v>85769</v>
      </c>
      <c r="W232" s="37">
        <v>91621</v>
      </c>
      <c r="X232" s="37">
        <v>95471</v>
      </c>
      <c r="Y232" s="37">
        <v>96769</v>
      </c>
      <c r="Z232" s="37">
        <v>245443</v>
      </c>
      <c r="AA232" s="37">
        <v>216385</v>
      </c>
      <c r="AB232" s="37">
        <v>389228</v>
      </c>
      <c r="AC232" s="37">
        <v>215784</v>
      </c>
      <c r="AD232" s="13">
        <f t="shared" si="366"/>
        <v>7.7091531046399169</v>
      </c>
      <c r="AE232" s="13">
        <f t="shared" si="367"/>
        <v>7.6443881443182224</v>
      </c>
      <c r="AF232" s="13">
        <f t="shared" si="368"/>
        <v>7.6875093029823729</v>
      </c>
      <c r="AG232" s="13">
        <f t="shared" si="369"/>
        <v>7.7033665202887391</v>
      </c>
      <c r="AH232" s="13">
        <f t="shared" si="370"/>
        <v>12.068707040286322</v>
      </c>
      <c r="AI232" s="13">
        <f t="shared" si="371"/>
        <v>12.291042777928688</v>
      </c>
      <c r="AJ232" s="13">
        <f t="shared" si="372"/>
        <v>14.524070316216203</v>
      </c>
      <c r="AK232" s="15">
        <f t="shared" si="373"/>
        <v>169.39044000000001</v>
      </c>
      <c r="AL232" s="13">
        <f t="shared" si="374"/>
        <v>93.345660475290103</v>
      </c>
      <c r="AM232" s="13">
        <f t="shared" si="375"/>
        <v>11.76895043872044</v>
      </c>
      <c r="AN232" s="17">
        <f t="shared" si="376"/>
        <v>188.5534184375</v>
      </c>
      <c r="AO232" s="13">
        <f t="shared" si="377"/>
        <v>94.184671860704256</v>
      </c>
      <c r="AP232" s="13">
        <f t="shared" si="378"/>
        <v>12.354257744755653</v>
      </c>
      <c r="AQ232" s="10" t="s">
        <v>238</v>
      </c>
      <c r="AR232" s="10" t="s">
        <v>235</v>
      </c>
      <c r="AS232">
        <v>189.2</v>
      </c>
    </row>
    <row r="233" spans="1:45" ht="14">
      <c r="A233" s="39" t="s">
        <v>227</v>
      </c>
      <c r="B233" s="40" t="s">
        <v>229</v>
      </c>
      <c r="C233" s="37">
        <v>3.8193273254829299</v>
      </c>
      <c r="D233" s="37">
        <f t="shared" ref="D233:D235" si="385">POWER(10,C233)</f>
        <v>6596.7089843749436</v>
      </c>
      <c r="E233" s="13">
        <f t="shared" si="355"/>
        <v>5.1784165527343315</v>
      </c>
      <c r="F233" s="13">
        <f t="shared" si="356"/>
        <v>-161.89472905262767</v>
      </c>
      <c r="G233" s="13">
        <f t="shared" si="357"/>
        <v>-4.1812675781280779</v>
      </c>
      <c r="H233" s="37">
        <v>3.7880419814680399</v>
      </c>
      <c r="I233" s="9">
        <f t="shared" ref="I233:I235" si="386">POWER(10,H233)</f>
        <v>6138.2133789061781</v>
      </c>
      <c r="J233" s="13">
        <f t="shared" si="359"/>
        <v>4.8184975024413497</v>
      </c>
      <c r="K233" s="13">
        <f t="shared" si="360"/>
        <v>-191.06583520888131</v>
      </c>
      <c r="L233" s="13">
        <f t="shared" si="361"/>
        <v>-4.4941210182769806</v>
      </c>
      <c r="M233" s="36">
        <v>-692</v>
      </c>
      <c r="N233" s="36">
        <v>-479</v>
      </c>
      <c r="O233" s="3">
        <f t="shared" si="362"/>
        <v>213</v>
      </c>
      <c r="P233" s="41">
        <v>2.093</v>
      </c>
      <c r="Q233" s="13">
        <f t="shared" si="363"/>
        <v>2666.2420382165606</v>
      </c>
      <c r="R233" s="13">
        <f t="shared" si="364"/>
        <v>-341.56092991255048</v>
      </c>
      <c r="S233" s="13">
        <f t="shared" si="365"/>
        <v>-6.4499063928173914</v>
      </c>
      <c r="T233" s="42">
        <v>261</v>
      </c>
      <c r="U233" s="42">
        <v>125</v>
      </c>
      <c r="V233" s="37">
        <v>8860</v>
      </c>
      <c r="W233" s="37">
        <v>6793</v>
      </c>
      <c r="X233" s="37">
        <v>6256</v>
      </c>
      <c r="Y233" s="37">
        <v>6279</v>
      </c>
      <c r="Z233" s="37">
        <v>6375</v>
      </c>
      <c r="AA233" s="37">
        <v>6600</v>
      </c>
      <c r="AB233" s="37">
        <v>7019</v>
      </c>
      <c r="AC233" s="37">
        <v>6514</v>
      </c>
      <c r="AD233" s="13">
        <f t="shared" si="366"/>
        <v>-2.1498131421939579</v>
      </c>
      <c r="AE233" s="13">
        <f t="shared" si="367"/>
        <v>-3.6549459856280957</v>
      </c>
      <c r="AF233" s="13">
        <f t="shared" si="368"/>
        <v>-4.1482380120625777</v>
      </c>
      <c r="AG233" s="13">
        <f t="shared" si="369"/>
        <v>-4.1750911803554089</v>
      </c>
      <c r="AH233" s="13">
        <f t="shared" si="370"/>
        <v>-3.7859975746005743</v>
      </c>
      <c r="AI233" s="13">
        <f t="shared" si="371"/>
        <v>-2.8657893846478553</v>
      </c>
      <c r="AJ233" s="13">
        <f t="shared" si="372"/>
        <v>-2.9152180064597335</v>
      </c>
      <c r="AK233" s="15">
        <f t="shared" si="373"/>
        <v>5.1134899999999996</v>
      </c>
      <c r="AL233" s="13">
        <f t="shared" si="374"/>
        <v>-120.43291372428615</v>
      </c>
      <c r="AM233" s="13">
        <f t="shared" si="375"/>
        <v>-3.4327644127601502</v>
      </c>
      <c r="AN233" s="17">
        <f t="shared" si="376"/>
        <v>5.1046996354166669</v>
      </c>
      <c r="AO233" s="13">
        <f t="shared" si="377"/>
        <v>-114.80206051545659</v>
      </c>
      <c r="AP233" s="13">
        <f t="shared" si="378"/>
        <v>-3.3203844307128234</v>
      </c>
      <c r="AQ233" s="10" t="s">
        <v>238</v>
      </c>
      <c r="AR233" s="10" t="s">
        <v>236</v>
      </c>
      <c r="AS233">
        <v>150.22999999999999</v>
      </c>
    </row>
    <row r="234" spans="1:45" ht="14">
      <c r="A234" s="39" t="s">
        <v>227</v>
      </c>
      <c r="B234" s="40" t="s">
        <v>229</v>
      </c>
      <c r="C234" s="37">
        <v>3.6994937257928</v>
      </c>
      <c r="D234" s="37">
        <f t="shared" si="385"/>
        <v>5006.033203124899</v>
      </c>
      <c r="E234" s="13">
        <f t="shared" si="355"/>
        <v>3.9297360644530457</v>
      </c>
      <c r="F234" s="13">
        <f t="shared" si="356"/>
        <v>-245.11223597627557</v>
      </c>
      <c r="G234" s="13">
        <f t="shared" si="357"/>
        <v>-5.3796035750293765</v>
      </c>
      <c r="H234" s="37">
        <v>3.7804752542084801</v>
      </c>
      <c r="I234" s="9">
        <f t="shared" si="386"/>
        <v>6032.1933593749782</v>
      </c>
      <c r="J234" s="13">
        <f t="shared" si="359"/>
        <v>4.7352717871093581</v>
      </c>
      <c r="K234" s="13">
        <f t="shared" si="360"/>
        <v>-196.18152094626754</v>
      </c>
      <c r="L234" s="13">
        <f t="shared" si="361"/>
        <v>-4.5697882908725775</v>
      </c>
      <c r="M234" s="36">
        <v>-568</v>
      </c>
      <c r="N234" s="36">
        <v>-476</v>
      </c>
      <c r="O234" s="3">
        <f t="shared" si="362"/>
        <v>92</v>
      </c>
      <c r="P234" s="41">
        <v>0.85799999999999998</v>
      </c>
      <c r="Q234" s="13">
        <f t="shared" si="363"/>
        <v>1092.9936305732483</v>
      </c>
      <c r="R234" s="13">
        <f t="shared" si="364"/>
        <v>-81.012555119430615</v>
      </c>
      <c r="S234" s="13">
        <f t="shared" si="365"/>
        <v>-2.5770869879175806</v>
      </c>
      <c r="T234" s="42">
        <v>120</v>
      </c>
      <c r="U234" s="42">
        <v>90</v>
      </c>
      <c r="V234" s="37">
        <v>8474</v>
      </c>
      <c r="W234" s="37">
        <v>6864</v>
      </c>
      <c r="X234" s="37">
        <v>6254</v>
      </c>
      <c r="Y234" s="37">
        <v>5954</v>
      </c>
      <c r="Z234" s="37">
        <v>5409</v>
      </c>
      <c r="AA234" s="37">
        <v>4285</v>
      </c>
      <c r="AB234" s="37">
        <v>3855</v>
      </c>
      <c r="AC234" s="37">
        <v>3514</v>
      </c>
      <c r="AD234" s="13">
        <f t="shared" si="366"/>
        <v>-2.343265764414757</v>
      </c>
      <c r="AE234" s="13">
        <f t="shared" si="367"/>
        <v>-3.6097893831288745</v>
      </c>
      <c r="AF234" s="13">
        <f t="shared" si="368"/>
        <v>-4.1496266435113496</v>
      </c>
      <c r="AG234" s="13">
        <f t="shared" si="369"/>
        <v>-4.4059077078318385</v>
      </c>
      <c r="AH234" s="13">
        <f t="shared" si="370"/>
        <v>-4.4996296512398581</v>
      </c>
      <c r="AI234" s="13">
        <f t="shared" si="371"/>
        <v>-4.741720477474372</v>
      </c>
      <c r="AJ234" s="13">
        <f t="shared" si="372"/>
        <v>-5.5177266067121078</v>
      </c>
      <c r="AK234" s="15">
        <f t="shared" si="373"/>
        <v>2.7584900000000001</v>
      </c>
      <c r="AL234" s="13">
        <f t="shared" si="374"/>
        <v>-308.62265224815025</v>
      </c>
      <c r="AM234" s="13">
        <f t="shared" si="375"/>
        <v>-6.1132243834559317</v>
      </c>
      <c r="AN234" s="17">
        <f t="shared" si="376"/>
        <v>3.5701472916666668</v>
      </c>
      <c r="AO234" s="13">
        <f t="shared" si="377"/>
        <v>-207.13018551347116</v>
      </c>
      <c r="AP234" s="13">
        <f t="shared" si="378"/>
        <v>-4.8732250207543828</v>
      </c>
      <c r="AQ234" s="10" t="s">
        <v>238</v>
      </c>
      <c r="AR234" s="10" t="s">
        <v>236</v>
      </c>
      <c r="AS234">
        <v>150.22999999999999</v>
      </c>
    </row>
    <row r="235" spans="1:45" ht="14">
      <c r="A235" s="39" t="s">
        <v>227</v>
      </c>
      <c r="B235" s="40" t="s">
        <v>229</v>
      </c>
      <c r="C235" s="37">
        <v>3.8237991037997499</v>
      </c>
      <c r="D235" s="37">
        <f t="shared" si="385"/>
        <v>6664.9838867187245</v>
      </c>
      <c r="E235" s="13">
        <f t="shared" si="355"/>
        <v>5.2320123510741983</v>
      </c>
      <c r="F235" s="13">
        <f>(1-13.562/E235)*100</f>
        <v>-159.21192631006593</v>
      </c>
      <c r="G235" s="13">
        <f t="shared" si="357"/>
        <v>-4.1365497949598815</v>
      </c>
      <c r="H235" s="37">
        <v>3.7979890539498702</v>
      </c>
      <c r="I235" s="9">
        <f t="shared" si="386"/>
        <v>6280.4252929687073</v>
      </c>
      <c r="J235" s="13">
        <f t="shared" si="359"/>
        <v>4.9301338549804345</v>
      </c>
      <c r="K235" s="13">
        <f t="shared" si="360"/>
        <v>-184.47503480725794</v>
      </c>
      <c r="L235" s="13">
        <f t="shared" si="361"/>
        <v>-4.3946502934586791</v>
      </c>
      <c r="M235" s="36">
        <v>-639</v>
      </c>
      <c r="N235" s="36">
        <v>-476</v>
      </c>
      <c r="O235" s="3">
        <f t="shared" si="362"/>
        <v>163</v>
      </c>
      <c r="P235" s="41">
        <v>2.1850000000000001</v>
      </c>
      <c r="Q235" s="13">
        <f t="shared" si="363"/>
        <v>2783.43949044586</v>
      </c>
      <c r="R235" s="13">
        <f t="shared" si="364"/>
        <v>-360.97020155705815</v>
      </c>
      <c r="S235" s="13">
        <f t="shared" si="365"/>
        <v>-6.6367285224949333</v>
      </c>
      <c r="T235" s="42">
        <v>200</v>
      </c>
      <c r="U235" s="42">
        <v>132</v>
      </c>
      <c r="V235" s="37">
        <v>9531</v>
      </c>
      <c r="W235" s="37">
        <v>7069</v>
      </c>
      <c r="X235" s="37">
        <v>6371</v>
      </c>
      <c r="Y235" s="37">
        <v>6034</v>
      </c>
      <c r="Z235" s="37">
        <v>5893</v>
      </c>
      <c r="AA235" s="37">
        <v>5669</v>
      </c>
      <c r="AB235" s="37">
        <v>6963</v>
      </c>
      <c r="AC235" s="37">
        <v>6686</v>
      </c>
      <c r="AD235" s="13">
        <f t="shared" si="366"/>
        <v>-1.8327656655963673</v>
      </c>
      <c r="AE235" s="13">
        <f t="shared" si="367"/>
        <v>-3.4819823149223756</v>
      </c>
      <c r="AF235" s="13">
        <f t="shared" si="368"/>
        <v>-4.069129361760079</v>
      </c>
      <c r="AG235" s="13">
        <f t="shared" si="369"/>
        <v>-4.3479429525492019</v>
      </c>
      <c r="AH235" s="13">
        <f t="shared" si="370"/>
        <v>-4.12743505470901</v>
      </c>
      <c r="AI235" s="13">
        <f t="shared" si="371"/>
        <v>-3.526164170156842</v>
      </c>
      <c r="AJ235" s="13">
        <f t="shared" si="372"/>
        <v>-2.9500064788260643</v>
      </c>
      <c r="AK235" s="15">
        <f t="shared" si="373"/>
        <v>5.2485100000000005</v>
      </c>
      <c r="AL235" s="13">
        <f t="shared" si="374"/>
        <v>-114.76218965001492</v>
      </c>
      <c r="AM235" s="13">
        <f t="shared" si="375"/>
        <v>-3.3195782324831957</v>
      </c>
      <c r="AN235" s="17">
        <f t="shared" si="376"/>
        <v>4.8569258333333334</v>
      </c>
      <c r="AO235" s="13">
        <f t="shared" si="377"/>
        <v>-125.76008727056602</v>
      </c>
      <c r="AP235" s="13">
        <f t="shared" si="378"/>
        <v>-3.536471642926164</v>
      </c>
      <c r="AQ235" s="10" t="s">
        <v>238</v>
      </c>
      <c r="AR235" s="10" t="s">
        <v>236</v>
      </c>
      <c r="AS235">
        <v>150.22999999999999</v>
      </c>
    </row>
    <row r="236" spans="1:45" ht="13">
      <c r="B236" s="38"/>
      <c r="AK236"/>
      <c r="AL236"/>
      <c r="AM236"/>
      <c r="AN236"/>
    </row>
    <row r="237" spans="1:45" ht="13" customHeight="1">
      <c r="AK237"/>
      <c r="AL237"/>
      <c r="AM237"/>
      <c r="AN237"/>
    </row>
    <row r="238" spans="1:45" ht="13">
      <c r="AK238"/>
      <c r="AL238"/>
      <c r="AM238"/>
      <c r="AN238"/>
    </row>
    <row r="239" spans="1:45" ht="13">
      <c r="AK239"/>
      <c r="AL239"/>
      <c r="AM239"/>
      <c r="AN239"/>
    </row>
    <row r="240" spans="1:45" ht="13">
      <c r="B240" s="38"/>
      <c r="AK240"/>
      <c r="AL240"/>
      <c r="AM240"/>
      <c r="AN240"/>
    </row>
    <row r="241" spans="1:40" ht="13">
      <c r="B241" s="38"/>
      <c r="AK241"/>
      <c r="AL241"/>
      <c r="AM241"/>
      <c r="AN241"/>
    </row>
    <row r="242" spans="1:40" ht="13">
      <c r="A242" s="5"/>
      <c r="B242" s="5"/>
      <c r="AK242"/>
      <c r="AL242"/>
      <c r="AM242"/>
      <c r="AN242"/>
    </row>
    <row r="243" spans="1:40" ht="13">
      <c r="A243" s="5"/>
      <c r="B243" s="5"/>
      <c r="AK243"/>
      <c r="AL243"/>
      <c r="AM243"/>
      <c r="AN243"/>
    </row>
    <row r="244" spans="1:40" ht="13">
      <c r="A244" s="5"/>
      <c r="B244" s="5"/>
      <c r="AK244"/>
      <c r="AL244"/>
      <c r="AM244"/>
      <c r="AN244"/>
    </row>
    <row r="245" spans="1:40" ht="13">
      <c r="A245" s="5"/>
      <c r="B245" s="5"/>
      <c r="AK245"/>
      <c r="AL245"/>
      <c r="AM245"/>
      <c r="AN245"/>
    </row>
    <row r="246" spans="1:40" ht="13">
      <c r="A246" s="5"/>
      <c r="B246" s="5"/>
      <c r="AK246"/>
      <c r="AL246"/>
      <c r="AM246"/>
      <c r="AN246"/>
    </row>
    <row r="247" spans="1:40" ht="13">
      <c r="A247" s="5"/>
      <c r="B247" s="5"/>
      <c r="J247"/>
      <c r="K247"/>
      <c r="L247"/>
      <c r="Q247"/>
      <c r="R247"/>
      <c r="S247"/>
      <c r="AK247"/>
      <c r="AL247"/>
      <c r="AM247"/>
      <c r="AN247"/>
    </row>
    <row r="248" spans="1:40" ht="13">
      <c r="A248" s="5"/>
      <c r="B248" s="5"/>
      <c r="J248"/>
      <c r="K248"/>
      <c r="L248"/>
      <c r="Q248"/>
      <c r="R248"/>
      <c r="S248"/>
      <c r="AK248"/>
      <c r="AL248"/>
      <c r="AM248"/>
      <c r="AN248"/>
    </row>
    <row r="249" spans="1:40" ht="13">
      <c r="A249" s="5"/>
      <c r="B249" s="5"/>
      <c r="J249"/>
      <c r="K249"/>
      <c r="L249"/>
      <c r="Q249"/>
      <c r="R249"/>
      <c r="S249"/>
      <c r="AK249"/>
      <c r="AL249"/>
      <c r="AM249"/>
      <c r="AN249"/>
    </row>
    <row r="250" spans="1:40" ht="13">
      <c r="A250" s="5"/>
      <c r="B250" s="5"/>
      <c r="J250"/>
      <c r="K250"/>
      <c r="L250"/>
      <c r="Q250"/>
      <c r="R250"/>
      <c r="S250"/>
      <c r="AK250"/>
      <c r="AL250"/>
      <c r="AM250"/>
      <c r="AN250"/>
    </row>
    <row r="251" spans="1:40" ht="13">
      <c r="A251" s="5"/>
      <c r="B251" s="5"/>
      <c r="J251"/>
      <c r="K251"/>
      <c r="L251"/>
      <c r="Q251"/>
      <c r="R251"/>
      <c r="S251"/>
      <c r="AK251"/>
      <c r="AL251"/>
      <c r="AM251"/>
      <c r="AN251"/>
    </row>
    <row r="252" spans="1:40" ht="13">
      <c r="A252" s="5"/>
      <c r="B252" s="5"/>
      <c r="J252"/>
      <c r="K252"/>
      <c r="L252"/>
      <c r="Q252"/>
      <c r="R252"/>
      <c r="S252"/>
      <c r="AK252"/>
      <c r="AL252"/>
      <c r="AM252"/>
      <c r="AN252"/>
    </row>
    <row r="253" spans="1:40" ht="13">
      <c r="A253" s="5"/>
      <c r="B253" s="5"/>
      <c r="J253"/>
      <c r="K253"/>
      <c r="L253"/>
      <c r="Q253"/>
      <c r="R253"/>
      <c r="S253"/>
      <c r="AK253"/>
      <c r="AL253"/>
      <c r="AM253"/>
      <c r="AN253"/>
    </row>
    <row r="254" spans="1:40" ht="13">
      <c r="A254" s="5"/>
      <c r="B254" s="5"/>
      <c r="J254"/>
      <c r="K254"/>
      <c r="L254"/>
      <c r="Q254"/>
      <c r="R254"/>
      <c r="S254"/>
      <c r="AK254"/>
      <c r="AL254"/>
      <c r="AM254"/>
      <c r="AN254"/>
    </row>
    <row r="255" spans="1:40" ht="13">
      <c r="A255" s="5"/>
      <c r="B255" s="5"/>
      <c r="J255"/>
      <c r="K255"/>
      <c r="L255"/>
      <c r="Q255"/>
      <c r="R255"/>
      <c r="S255"/>
      <c r="AK255"/>
      <c r="AL255"/>
      <c r="AM255"/>
      <c r="AN255"/>
    </row>
    <row r="256" spans="1:40" ht="13">
      <c r="A256" s="5"/>
      <c r="B256" s="5"/>
      <c r="J256"/>
      <c r="K256"/>
      <c r="L256"/>
      <c r="Q256"/>
      <c r="R256"/>
      <c r="S256"/>
      <c r="AK256"/>
      <c r="AL256"/>
      <c r="AM256"/>
      <c r="AN256"/>
    </row>
    <row r="257" spans="1:40" ht="13">
      <c r="A257" s="5"/>
      <c r="B257" s="5"/>
      <c r="J257"/>
      <c r="K257"/>
      <c r="L257"/>
      <c r="Q257"/>
      <c r="R257"/>
      <c r="S257"/>
      <c r="AK257"/>
      <c r="AL257"/>
      <c r="AM257"/>
      <c r="AN257"/>
    </row>
    <row r="258" spans="1:40" ht="13">
      <c r="A258" s="5"/>
      <c r="B258" s="5"/>
      <c r="J258"/>
      <c r="K258"/>
      <c r="L258"/>
      <c r="Q258"/>
      <c r="R258"/>
      <c r="S258"/>
      <c r="AK258"/>
      <c r="AL258"/>
      <c r="AM258"/>
      <c r="AN258"/>
    </row>
    <row r="259" spans="1:40" ht="13">
      <c r="A259" s="5"/>
      <c r="B259" s="5"/>
      <c r="J259"/>
      <c r="K259"/>
      <c r="L259"/>
      <c r="Q259"/>
      <c r="R259"/>
      <c r="S259"/>
      <c r="AK259"/>
      <c r="AL259"/>
      <c r="AM259"/>
      <c r="AN259"/>
    </row>
    <row r="260" spans="1:40" ht="13">
      <c r="A260" s="5"/>
      <c r="B260" s="5"/>
      <c r="J260"/>
      <c r="K260"/>
      <c r="L260"/>
      <c r="Q260"/>
      <c r="R260"/>
      <c r="S260"/>
      <c r="AK260"/>
      <c r="AL260"/>
      <c r="AM260"/>
      <c r="AN260"/>
    </row>
    <row r="261" spans="1:40" ht="13">
      <c r="A261" s="5"/>
      <c r="B261" s="5"/>
      <c r="J261"/>
      <c r="K261"/>
      <c r="L261"/>
      <c r="Q261"/>
      <c r="R261"/>
      <c r="S261"/>
      <c r="AK261"/>
      <c r="AL261"/>
      <c r="AM261"/>
      <c r="AN261"/>
    </row>
    <row r="262" spans="1:40" ht="13">
      <c r="A262" s="5"/>
      <c r="B262" s="5"/>
      <c r="J262"/>
      <c r="K262"/>
      <c r="L262"/>
      <c r="Q262"/>
      <c r="R262"/>
      <c r="S262"/>
      <c r="AK262"/>
      <c r="AL262"/>
      <c r="AM262"/>
      <c r="AN262"/>
    </row>
    <row r="263" spans="1:40" ht="13">
      <c r="A263" s="5"/>
      <c r="B263" s="5"/>
      <c r="J263"/>
      <c r="K263"/>
      <c r="L263"/>
      <c r="Q263"/>
      <c r="R263"/>
      <c r="S263"/>
      <c r="AK263"/>
      <c r="AL263"/>
      <c r="AM263"/>
      <c r="AN263"/>
    </row>
    <row r="264" spans="1:40" ht="13">
      <c r="A264" s="5"/>
      <c r="B264" s="5"/>
      <c r="J264"/>
      <c r="K264"/>
      <c r="L264"/>
      <c r="Q264"/>
      <c r="R264"/>
      <c r="S264"/>
      <c r="AK264"/>
      <c r="AL264"/>
      <c r="AM264"/>
      <c r="AN264"/>
    </row>
    <row r="265" spans="1:40" ht="13">
      <c r="A265" s="5"/>
      <c r="B265" s="5"/>
      <c r="J265"/>
      <c r="K265"/>
      <c r="L265"/>
      <c r="Q265"/>
      <c r="R265"/>
      <c r="S265"/>
      <c r="AK265"/>
      <c r="AL265"/>
      <c r="AM265"/>
      <c r="AN265"/>
    </row>
    <row r="266" spans="1:40" ht="13">
      <c r="A266" s="5"/>
      <c r="B266" s="5"/>
      <c r="J266"/>
      <c r="K266"/>
      <c r="L266"/>
      <c r="Q266"/>
      <c r="R266"/>
      <c r="S266"/>
      <c r="AK266"/>
      <c r="AL266"/>
      <c r="AM266"/>
      <c r="AN266"/>
    </row>
    <row r="267" spans="1:40" ht="13">
      <c r="A267" s="5"/>
      <c r="B267" s="5"/>
      <c r="J267"/>
      <c r="K267"/>
      <c r="L267"/>
      <c r="Q267"/>
      <c r="R267"/>
      <c r="S267"/>
      <c r="AK267"/>
      <c r="AL267"/>
      <c r="AM267"/>
      <c r="AN267"/>
    </row>
    <row r="268" spans="1:40" ht="13">
      <c r="A268" s="5"/>
      <c r="B268" s="5"/>
      <c r="J268"/>
      <c r="K268"/>
      <c r="L268"/>
      <c r="Q268"/>
      <c r="R268"/>
      <c r="S268"/>
      <c r="AK268"/>
      <c r="AL268"/>
      <c r="AM268"/>
      <c r="AN268"/>
    </row>
    <row r="269" spans="1:40" ht="13">
      <c r="A269" s="5"/>
      <c r="B269" s="5"/>
      <c r="J269"/>
      <c r="K269"/>
      <c r="L269"/>
      <c r="Q269"/>
      <c r="R269"/>
      <c r="S269"/>
      <c r="AK269"/>
      <c r="AL269"/>
      <c r="AM269"/>
      <c r="AN269"/>
    </row>
    <row r="270" spans="1:40" ht="13">
      <c r="A270" s="5"/>
      <c r="B270" s="5"/>
      <c r="J270"/>
      <c r="K270"/>
      <c r="L270"/>
      <c r="Q270"/>
      <c r="R270"/>
      <c r="S270"/>
      <c r="AK270"/>
      <c r="AL270"/>
      <c r="AM270"/>
      <c r="AN270"/>
    </row>
    <row r="271" spans="1:40" ht="13">
      <c r="A271" s="5"/>
      <c r="B271" s="5"/>
      <c r="J271"/>
      <c r="K271"/>
      <c r="L271"/>
      <c r="Q271"/>
      <c r="R271"/>
      <c r="S271"/>
      <c r="AK271"/>
      <c r="AL271"/>
      <c r="AM271"/>
      <c r="AN271"/>
    </row>
    <row r="272" spans="1:40" ht="13">
      <c r="A272" s="5"/>
      <c r="B272" s="5"/>
      <c r="J272"/>
      <c r="K272"/>
      <c r="L272"/>
      <c r="Q272"/>
      <c r="R272"/>
      <c r="S272"/>
      <c r="AK272"/>
      <c r="AL272"/>
      <c r="AM272"/>
      <c r="AN272"/>
    </row>
    <row r="273" spans="1:40" ht="13">
      <c r="A273" s="5"/>
      <c r="B273" s="5"/>
      <c r="J273"/>
      <c r="K273"/>
      <c r="L273"/>
      <c r="Q273"/>
      <c r="R273"/>
      <c r="S273"/>
      <c r="AK273"/>
      <c r="AL273"/>
      <c r="AM273"/>
      <c r="AN273"/>
    </row>
    <row r="274" spans="1:40" ht="13">
      <c r="A274" s="5"/>
      <c r="B274" s="5"/>
      <c r="J274"/>
      <c r="K274"/>
      <c r="L274"/>
      <c r="Q274"/>
      <c r="R274"/>
      <c r="S274"/>
      <c r="AK274"/>
      <c r="AL274"/>
      <c r="AM274"/>
      <c r="AN274"/>
    </row>
    <row r="275" spans="1:40" ht="13">
      <c r="A275" s="5"/>
      <c r="B275" s="5"/>
      <c r="J275"/>
      <c r="K275"/>
      <c r="L275"/>
      <c r="Q275"/>
      <c r="R275"/>
      <c r="S275"/>
      <c r="AK275"/>
      <c r="AL275"/>
      <c r="AM275"/>
      <c r="AN275"/>
    </row>
    <row r="276" spans="1:40" ht="13">
      <c r="A276" s="5"/>
      <c r="B276" s="5"/>
      <c r="J276"/>
      <c r="K276"/>
      <c r="L276"/>
      <c r="Q276"/>
      <c r="R276"/>
      <c r="S276"/>
      <c r="AK276"/>
      <c r="AL276"/>
      <c r="AM276"/>
      <c r="AN276"/>
    </row>
    <row r="277" spans="1:40" ht="13">
      <c r="A277" s="5"/>
      <c r="B277" s="5"/>
      <c r="J277"/>
      <c r="K277"/>
      <c r="L277"/>
      <c r="Q277"/>
      <c r="R277"/>
      <c r="S277"/>
      <c r="AK277"/>
      <c r="AL277"/>
      <c r="AM277"/>
      <c r="AN277"/>
    </row>
    <row r="278" spans="1:40" ht="13">
      <c r="A278" s="5"/>
      <c r="B278" s="5"/>
      <c r="J278"/>
      <c r="K278"/>
      <c r="L278"/>
      <c r="Q278"/>
      <c r="R278"/>
      <c r="S278"/>
      <c r="AK278"/>
      <c r="AL278"/>
      <c r="AM278"/>
      <c r="AN278"/>
    </row>
    <row r="279" spans="1:40" ht="13">
      <c r="A279" s="5"/>
      <c r="B279" s="5"/>
      <c r="J279"/>
      <c r="K279"/>
      <c r="L279"/>
      <c r="Q279"/>
      <c r="R279"/>
      <c r="S279"/>
      <c r="AK279"/>
      <c r="AL279"/>
      <c r="AM279"/>
      <c r="AN279"/>
    </row>
    <row r="280" spans="1:40" ht="13">
      <c r="A280" s="5"/>
      <c r="B280" s="5"/>
      <c r="J280"/>
      <c r="K280"/>
      <c r="L280"/>
      <c r="Q280"/>
      <c r="R280"/>
      <c r="S280"/>
      <c r="AK280"/>
      <c r="AL280"/>
      <c r="AM280"/>
      <c r="AN280"/>
    </row>
    <row r="281" spans="1:40" ht="13">
      <c r="A281" s="5"/>
      <c r="B281" s="5"/>
      <c r="J281"/>
      <c r="K281"/>
      <c r="L281"/>
      <c r="Q281"/>
      <c r="R281"/>
      <c r="S281"/>
      <c r="AK281"/>
      <c r="AL281"/>
      <c r="AM281"/>
      <c r="AN281"/>
    </row>
    <row r="282" spans="1:40" ht="13">
      <c r="A282" s="5"/>
      <c r="B282" s="5"/>
      <c r="J282"/>
      <c r="K282"/>
      <c r="L282"/>
      <c r="Q282"/>
      <c r="R282"/>
      <c r="S282"/>
      <c r="AK282"/>
      <c r="AL282"/>
      <c r="AM282"/>
      <c r="AN282"/>
    </row>
    <row r="283" spans="1:40" ht="13">
      <c r="A283" s="5"/>
      <c r="B283" s="5"/>
      <c r="J283"/>
      <c r="K283"/>
      <c r="L283"/>
      <c r="Q283"/>
      <c r="R283"/>
      <c r="S283"/>
      <c r="AK283"/>
      <c r="AL283"/>
      <c r="AM283"/>
      <c r="AN283"/>
    </row>
    <row r="284" spans="1:40" ht="13">
      <c r="A284" s="5"/>
      <c r="B284" s="5"/>
      <c r="J284"/>
      <c r="K284"/>
      <c r="L284"/>
      <c r="Q284"/>
      <c r="R284"/>
      <c r="S284"/>
      <c r="AK284"/>
      <c r="AL284"/>
      <c r="AM284"/>
      <c r="AN284"/>
    </row>
    <row r="285" spans="1:40" ht="13">
      <c r="A285" s="5"/>
      <c r="B285" s="5"/>
      <c r="J285"/>
      <c r="K285"/>
      <c r="L285"/>
      <c r="Q285"/>
      <c r="R285"/>
      <c r="S285"/>
      <c r="AK285"/>
      <c r="AL285"/>
      <c r="AM285"/>
      <c r="AN285"/>
    </row>
    <row r="286" spans="1:40" ht="13">
      <c r="A286" s="5"/>
      <c r="B286" s="5"/>
      <c r="J286"/>
      <c r="K286"/>
      <c r="L286"/>
      <c r="Q286"/>
      <c r="R286"/>
      <c r="S286"/>
      <c r="AK286"/>
      <c r="AL286"/>
      <c r="AM286"/>
      <c r="AN286"/>
    </row>
    <row r="287" spans="1:40" ht="13">
      <c r="A287" s="5"/>
      <c r="B287" s="5"/>
      <c r="J287"/>
      <c r="K287"/>
      <c r="L287"/>
      <c r="Q287"/>
      <c r="R287"/>
      <c r="S287"/>
      <c r="AK287"/>
      <c r="AL287"/>
      <c r="AM287"/>
      <c r="AN287"/>
    </row>
    <row r="288" spans="1:40" ht="13">
      <c r="A288" s="5"/>
      <c r="B288" s="5"/>
      <c r="J288"/>
      <c r="K288"/>
      <c r="L288"/>
      <c r="Q288"/>
      <c r="R288"/>
      <c r="S288"/>
      <c r="AK288"/>
      <c r="AL288"/>
      <c r="AM288"/>
      <c r="AN288"/>
    </row>
    <row r="289" spans="1:40" ht="13">
      <c r="A289" s="5"/>
      <c r="B289" s="5"/>
      <c r="J289"/>
      <c r="K289"/>
      <c r="L289"/>
      <c r="Q289"/>
      <c r="R289"/>
      <c r="S289"/>
      <c r="AK289"/>
      <c r="AL289"/>
      <c r="AM289"/>
      <c r="AN289"/>
    </row>
    <row r="290" spans="1:40" ht="13">
      <c r="A290" s="5"/>
      <c r="B290" s="5"/>
      <c r="J290"/>
      <c r="K290"/>
      <c r="L290"/>
      <c r="Q290"/>
      <c r="R290"/>
      <c r="S290"/>
      <c r="AK290"/>
      <c r="AL290"/>
      <c r="AM290"/>
      <c r="AN290"/>
    </row>
    <row r="291" spans="1:40" ht="13">
      <c r="A291" s="5"/>
      <c r="B291" s="5"/>
      <c r="J291"/>
      <c r="K291"/>
      <c r="L291"/>
      <c r="Q291"/>
      <c r="R291"/>
      <c r="S291"/>
      <c r="AK291"/>
      <c r="AL291"/>
      <c r="AM291"/>
      <c r="AN291"/>
    </row>
    <row r="292" spans="1:40" ht="13">
      <c r="A292" s="5"/>
      <c r="B292" s="5"/>
      <c r="J292"/>
      <c r="K292"/>
      <c r="L292"/>
      <c r="Q292"/>
      <c r="R292"/>
      <c r="S292"/>
      <c r="AK292"/>
      <c r="AL292"/>
      <c r="AM292"/>
      <c r="AN292"/>
    </row>
    <row r="293" spans="1:40" ht="13">
      <c r="A293" s="5"/>
      <c r="B293" s="5"/>
      <c r="J293"/>
      <c r="K293"/>
      <c r="L293"/>
      <c r="Q293"/>
      <c r="R293"/>
      <c r="S293"/>
      <c r="AK293"/>
      <c r="AL293"/>
      <c r="AM293"/>
      <c r="AN293"/>
    </row>
    <row r="294" spans="1:40" ht="13">
      <c r="A294" s="5"/>
      <c r="B294" s="5"/>
      <c r="J294"/>
      <c r="K294"/>
      <c r="L294"/>
      <c r="Q294"/>
      <c r="R294"/>
      <c r="S294"/>
      <c r="AK294"/>
      <c r="AL294"/>
      <c r="AM294"/>
      <c r="AN294"/>
    </row>
    <row r="295" spans="1:40" ht="13">
      <c r="A295" s="5"/>
      <c r="B295" s="5"/>
      <c r="J295"/>
      <c r="K295"/>
      <c r="L295"/>
      <c r="Q295"/>
      <c r="R295"/>
      <c r="S295"/>
      <c r="AK295"/>
      <c r="AL295"/>
      <c r="AM295"/>
      <c r="AN295"/>
    </row>
    <row r="296" spans="1:40" ht="13">
      <c r="A296" s="5"/>
      <c r="B296" s="5"/>
      <c r="J296"/>
      <c r="K296"/>
      <c r="L296"/>
      <c r="Q296"/>
      <c r="R296"/>
      <c r="S296"/>
      <c r="AK296"/>
      <c r="AL296"/>
      <c r="AM296"/>
      <c r="AN296"/>
    </row>
    <row r="297" spans="1:40" ht="13">
      <c r="A297" s="5"/>
      <c r="B297" s="5"/>
      <c r="J297"/>
      <c r="K297"/>
      <c r="L297"/>
      <c r="Q297"/>
      <c r="R297"/>
      <c r="S297"/>
      <c r="AK297"/>
      <c r="AL297"/>
      <c r="AM297"/>
      <c r="AN297"/>
    </row>
    <row r="298" spans="1:40" ht="13">
      <c r="A298" s="5"/>
      <c r="B298" s="5"/>
      <c r="J298"/>
      <c r="K298"/>
      <c r="L298"/>
      <c r="Q298"/>
      <c r="R298"/>
      <c r="S298"/>
      <c r="AK298"/>
      <c r="AL298"/>
      <c r="AM298"/>
      <c r="AN298"/>
    </row>
    <row r="299" spans="1:40" ht="13">
      <c r="A299" s="5"/>
      <c r="B299" s="5"/>
      <c r="J299"/>
      <c r="K299"/>
      <c r="L299"/>
      <c r="Q299"/>
      <c r="R299"/>
      <c r="S299"/>
      <c r="AK299"/>
      <c r="AL299"/>
      <c r="AM299"/>
      <c r="AN299"/>
    </row>
    <row r="300" spans="1:40" ht="13">
      <c r="A300" s="5"/>
      <c r="B300" s="5"/>
      <c r="J300"/>
      <c r="K300"/>
      <c r="L300"/>
      <c r="Q300"/>
      <c r="R300"/>
      <c r="S300"/>
      <c r="AK300"/>
      <c r="AL300"/>
      <c r="AM300"/>
      <c r="AN300"/>
    </row>
    <row r="301" spans="1:40" ht="13">
      <c r="A301" s="5"/>
      <c r="B301" s="5"/>
      <c r="J301"/>
      <c r="K301"/>
      <c r="L301"/>
      <c r="Q301"/>
      <c r="R301"/>
      <c r="S301"/>
      <c r="AK301"/>
      <c r="AL301"/>
      <c r="AM301"/>
      <c r="AN301"/>
    </row>
    <row r="302" spans="1:40" ht="13">
      <c r="A302" s="5"/>
      <c r="B302" s="5"/>
      <c r="J302"/>
      <c r="K302"/>
      <c r="L302"/>
      <c r="Q302"/>
      <c r="R302"/>
      <c r="S302"/>
      <c r="AK302"/>
      <c r="AL302"/>
      <c r="AM302"/>
      <c r="AN302"/>
    </row>
    <row r="303" spans="1:40" ht="13">
      <c r="A303" s="5"/>
      <c r="B303" s="5"/>
      <c r="J303"/>
      <c r="K303"/>
      <c r="L303"/>
      <c r="Q303"/>
      <c r="R303"/>
      <c r="S303"/>
      <c r="AK303"/>
      <c r="AL303"/>
      <c r="AM303"/>
      <c r="AN303"/>
    </row>
    <row r="304" spans="1:40" ht="13">
      <c r="A304" s="5"/>
      <c r="B304" s="5"/>
      <c r="J304"/>
      <c r="K304"/>
      <c r="L304"/>
      <c r="Q304"/>
      <c r="R304"/>
      <c r="S304"/>
      <c r="AK304"/>
      <c r="AL304"/>
      <c r="AM304"/>
      <c r="AN304"/>
    </row>
    <row r="305" spans="1:40" ht="13">
      <c r="A305" s="5"/>
      <c r="B305" s="5"/>
      <c r="J305"/>
      <c r="K305"/>
      <c r="L305"/>
      <c r="Q305"/>
      <c r="R305"/>
      <c r="S305"/>
      <c r="AK305"/>
      <c r="AL305"/>
      <c r="AM305"/>
      <c r="AN305"/>
    </row>
    <row r="306" spans="1:40" ht="13">
      <c r="A306" s="5"/>
      <c r="B306" s="5"/>
      <c r="J306"/>
      <c r="K306"/>
      <c r="L306"/>
      <c r="Q306"/>
      <c r="R306"/>
      <c r="S306"/>
      <c r="AK306"/>
      <c r="AL306"/>
      <c r="AM306"/>
      <c r="AN306"/>
    </row>
    <row r="307" spans="1:40" ht="13">
      <c r="A307" s="5"/>
      <c r="B307" s="5"/>
      <c r="J307"/>
      <c r="K307"/>
      <c r="L307"/>
      <c r="Q307"/>
      <c r="R307"/>
      <c r="S307"/>
      <c r="AK307"/>
      <c r="AL307"/>
      <c r="AM307"/>
      <c r="AN307"/>
    </row>
    <row r="308" spans="1:40" ht="13">
      <c r="A308" s="5"/>
      <c r="B308" s="5"/>
      <c r="J308"/>
      <c r="K308"/>
      <c r="L308"/>
      <c r="Q308"/>
      <c r="R308"/>
      <c r="S308"/>
      <c r="AK308"/>
      <c r="AL308"/>
      <c r="AM308"/>
      <c r="AN308"/>
    </row>
    <row r="309" spans="1:40" ht="13">
      <c r="A309" s="5"/>
      <c r="B309" s="5"/>
      <c r="J309"/>
      <c r="K309"/>
      <c r="L309"/>
      <c r="Q309"/>
      <c r="R309"/>
      <c r="S309"/>
      <c r="AK309"/>
      <c r="AL309"/>
      <c r="AM309"/>
      <c r="AN309"/>
    </row>
    <row r="310" spans="1:40" ht="13">
      <c r="A310" s="5"/>
      <c r="B310" s="5"/>
      <c r="J310"/>
      <c r="K310"/>
      <c r="L310"/>
      <c r="Q310"/>
      <c r="R310"/>
      <c r="S310"/>
      <c r="AK310"/>
      <c r="AL310"/>
      <c r="AM310"/>
      <c r="AN310"/>
    </row>
    <row r="311" spans="1:40" ht="13">
      <c r="A311" s="5"/>
      <c r="B311" s="5"/>
      <c r="J311"/>
      <c r="K311"/>
      <c r="L311"/>
      <c r="Q311"/>
      <c r="R311"/>
      <c r="S311"/>
      <c r="AK311"/>
      <c r="AL311"/>
      <c r="AM311"/>
      <c r="AN311"/>
    </row>
    <row r="312" spans="1:40" ht="13">
      <c r="A312" s="5"/>
      <c r="B312" s="5"/>
      <c r="J312"/>
      <c r="K312"/>
      <c r="L312"/>
      <c r="Q312"/>
      <c r="R312"/>
      <c r="S312"/>
      <c r="AK312"/>
      <c r="AL312"/>
      <c r="AM312"/>
      <c r="AN312"/>
    </row>
    <row r="313" spans="1:40" ht="13">
      <c r="A313" s="5"/>
      <c r="B313" s="5"/>
      <c r="J313"/>
      <c r="K313"/>
      <c r="L313"/>
      <c r="Q313"/>
      <c r="R313"/>
      <c r="S313"/>
      <c r="AK313"/>
      <c r="AL313"/>
      <c r="AM313"/>
      <c r="AN313"/>
    </row>
    <row r="314" spans="1:40" ht="13">
      <c r="A314" s="5"/>
      <c r="B314" s="5"/>
      <c r="J314"/>
      <c r="K314"/>
      <c r="L314"/>
      <c r="Q314"/>
      <c r="R314"/>
      <c r="S314"/>
      <c r="AK314"/>
      <c r="AL314"/>
      <c r="AM314"/>
      <c r="AN314"/>
    </row>
    <row r="315" spans="1:40" ht="13">
      <c r="A315" s="5"/>
      <c r="B315" s="5"/>
      <c r="J315"/>
      <c r="K315"/>
      <c r="L315"/>
      <c r="Q315"/>
      <c r="R315"/>
      <c r="S315"/>
      <c r="AK315"/>
      <c r="AL315"/>
      <c r="AM315"/>
      <c r="AN315"/>
    </row>
    <row r="316" spans="1:40" ht="13">
      <c r="A316" s="5"/>
      <c r="B316" s="5"/>
      <c r="J316"/>
      <c r="K316"/>
      <c r="L316"/>
      <c r="Q316"/>
      <c r="R316"/>
      <c r="S316"/>
      <c r="AK316"/>
      <c r="AL316"/>
      <c r="AM316"/>
      <c r="AN316"/>
    </row>
    <row r="317" spans="1:40" ht="13">
      <c r="A317" s="5"/>
      <c r="B317" s="5"/>
      <c r="J317"/>
      <c r="K317"/>
      <c r="L317"/>
      <c r="Q317"/>
      <c r="R317"/>
      <c r="S317"/>
      <c r="AK317"/>
      <c r="AL317"/>
      <c r="AM317"/>
      <c r="AN317"/>
    </row>
    <row r="318" spans="1:40" ht="13">
      <c r="A318" s="5"/>
      <c r="B318" s="5"/>
      <c r="J318"/>
      <c r="K318"/>
      <c r="L318"/>
      <c r="Q318"/>
      <c r="R318"/>
      <c r="S318"/>
      <c r="AK318"/>
      <c r="AL318"/>
      <c r="AM318"/>
      <c r="AN318"/>
    </row>
    <row r="319" spans="1:40" ht="13">
      <c r="A319" s="5"/>
      <c r="B319" s="5"/>
      <c r="J319"/>
      <c r="K319"/>
      <c r="L319"/>
      <c r="Q319"/>
      <c r="R319"/>
      <c r="S319"/>
      <c r="AK319"/>
      <c r="AL319"/>
      <c r="AM319"/>
      <c r="AN319"/>
    </row>
    <row r="320" spans="1:40" ht="13">
      <c r="A320" s="5"/>
      <c r="B320" s="5"/>
      <c r="J320"/>
      <c r="K320"/>
      <c r="L320"/>
      <c r="Q320"/>
      <c r="R320"/>
      <c r="S320"/>
      <c r="AK320"/>
      <c r="AL320"/>
      <c r="AM320"/>
      <c r="AN320"/>
    </row>
    <row r="321" spans="1:40" ht="13">
      <c r="A321" s="5"/>
      <c r="B321" s="5"/>
      <c r="J321"/>
      <c r="K321"/>
      <c r="L321"/>
      <c r="Q321"/>
      <c r="R321"/>
      <c r="S321"/>
      <c r="AK321"/>
      <c r="AL321"/>
      <c r="AM321"/>
      <c r="AN321"/>
    </row>
    <row r="322" spans="1:40" ht="13">
      <c r="A322" s="5"/>
      <c r="B322" s="5"/>
      <c r="J322"/>
      <c r="K322"/>
      <c r="L322"/>
      <c r="Q322"/>
      <c r="R322"/>
      <c r="S322"/>
      <c r="AK322"/>
      <c r="AL322"/>
      <c r="AM322"/>
      <c r="AN322"/>
    </row>
    <row r="323" spans="1:40" ht="13">
      <c r="A323" s="5"/>
      <c r="B323" s="5"/>
      <c r="J323"/>
      <c r="K323"/>
      <c r="L323"/>
      <c r="Q323"/>
      <c r="R323"/>
      <c r="S323"/>
      <c r="AK323"/>
      <c r="AL323"/>
      <c r="AM323"/>
      <c r="AN323"/>
    </row>
    <row r="324" spans="1:40" ht="13">
      <c r="A324" s="5"/>
      <c r="B324" s="5"/>
      <c r="J324"/>
      <c r="K324"/>
      <c r="L324"/>
      <c r="Q324"/>
      <c r="R324"/>
      <c r="S324"/>
      <c r="AK324"/>
      <c r="AL324"/>
      <c r="AM324"/>
      <c r="AN324"/>
    </row>
    <row r="325" spans="1:40" ht="13">
      <c r="A325" s="5"/>
      <c r="B325" s="5"/>
      <c r="J325"/>
      <c r="K325"/>
      <c r="L325"/>
      <c r="Q325"/>
      <c r="R325"/>
      <c r="S325"/>
      <c r="AK325"/>
      <c r="AL325"/>
      <c r="AM325"/>
      <c r="AN325"/>
    </row>
    <row r="326" spans="1:40" ht="13">
      <c r="A326" s="5"/>
      <c r="B326" s="5"/>
      <c r="J326"/>
      <c r="K326"/>
      <c r="L326"/>
      <c r="Q326"/>
      <c r="R326"/>
      <c r="S326"/>
      <c r="AK326"/>
      <c r="AL326"/>
      <c r="AM326"/>
      <c r="AN326"/>
    </row>
    <row r="327" spans="1:40" ht="13">
      <c r="A327" s="5"/>
      <c r="B327" s="5"/>
      <c r="J327"/>
      <c r="K327"/>
      <c r="L327"/>
      <c r="Q327"/>
      <c r="R327"/>
      <c r="S327"/>
      <c r="AK327"/>
      <c r="AL327"/>
      <c r="AM327"/>
      <c r="AN327"/>
    </row>
    <row r="328" spans="1:40" ht="13">
      <c r="A328" s="5"/>
      <c r="B328" s="5"/>
      <c r="J328"/>
      <c r="K328"/>
      <c r="L328"/>
      <c r="Q328"/>
      <c r="R328"/>
      <c r="S328"/>
      <c r="AK328"/>
      <c r="AL328"/>
      <c r="AM328"/>
      <c r="AN328"/>
    </row>
    <row r="329" spans="1:40" ht="13">
      <c r="A329" s="5"/>
      <c r="B329" s="5"/>
      <c r="J329"/>
      <c r="K329"/>
      <c r="L329"/>
      <c r="Q329"/>
      <c r="R329"/>
      <c r="S329"/>
      <c r="AK329"/>
      <c r="AL329"/>
      <c r="AM329"/>
      <c r="AN329"/>
    </row>
    <row r="330" spans="1:40" ht="13">
      <c r="A330" s="5"/>
      <c r="B330" s="5"/>
      <c r="J330"/>
      <c r="K330"/>
      <c r="L330"/>
      <c r="Q330"/>
      <c r="R330"/>
      <c r="S330"/>
      <c r="AK330"/>
      <c r="AL330"/>
      <c r="AM330"/>
      <c r="AN330"/>
    </row>
    <row r="331" spans="1:40" ht="13">
      <c r="A331" s="5"/>
      <c r="B331" s="5"/>
      <c r="J331"/>
      <c r="K331"/>
      <c r="L331"/>
      <c r="Q331"/>
      <c r="R331"/>
      <c r="S331"/>
      <c r="AK331"/>
      <c r="AL331"/>
      <c r="AM331"/>
      <c r="AN331"/>
    </row>
    <row r="332" spans="1:40" ht="13">
      <c r="A332" s="5"/>
      <c r="B332" s="5"/>
      <c r="J332"/>
      <c r="K332"/>
      <c r="L332"/>
      <c r="Q332"/>
      <c r="R332"/>
      <c r="S332"/>
      <c r="AK332"/>
      <c r="AL332"/>
      <c r="AM332"/>
      <c r="AN332"/>
    </row>
    <row r="333" spans="1:40" ht="13">
      <c r="A333" s="5"/>
      <c r="B333" s="5"/>
      <c r="J333"/>
      <c r="K333"/>
      <c r="L333"/>
      <c r="Q333"/>
      <c r="R333"/>
      <c r="S333"/>
      <c r="AK333"/>
      <c r="AL333"/>
      <c r="AM333"/>
      <c r="AN333"/>
    </row>
    <row r="334" spans="1:40" ht="13">
      <c r="A334" s="5"/>
      <c r="B334" s="5"/>
      <c r="J334"/>
      <c r="K334"/>
      <c r="L334"/>
      <c r="Q334"/>
      <c r="R334"/>
      <c r="S334"/>
      <c r="AK334"/>
      <c r="AL334"/>
      <c r="AM334"/>
      <c r="AN334"/>
    </row>
    <row r="335" spans="1:40" ht="13">
      <c r="A335" s="5"/>
      <c r="B335" s="5"/>
      <c r="J335"/>
      <c r="K335"/>
      <c r="L335"/>
      <c r="Q335"/>
      <c r="R335"/>
      <c r="S335"/>
      <c r="AK335"/>
      <c r="AL335"/>
      <c r="AM335"/>
      <c r="AN335"/>
    </row>
    <row r="336" spans="1:40" ht="13">
      <c r="A336" s="5"/>
      <c r="B336" s="5"/>
      <c r="J336"/>
      <c r="K336"/>
      <c r="L336"/>
      <c r="Q336"/>
      <c r="R336"/>
      <c r="S336"/>
      <c r="AK336"/>
      <c r="AL336"/>
      <c r="AM336"/>
      <c r="AN336"/>
    </row>
    <row r="337" spans="1:40" ht="13">
      <c r="A337" s="5"/>
      <c r="B337" s="5"/>
      <c r="J337"/>
      <c r="K337"/>
      <c r="L337"/>
      <c r="Q337"/>
      <c r="R337"/>
      <c r="S337"/>
      <c r="AK337"/>
      <c r="AL337"/>
      <c r="AM337"/>
      <c r="AN337"/>
    </row>
    <row r="338" spans="1:40" ht="13">
      <c r="A338" s="5"/>
      <c r="B338" s="5"/>
      <c r="J338"/>
      <c r="K338"/>
      <c r="L338"/>
      <c r="Q338"/>
      <c r="R338"/>
      <c r="S338"/>
      <c r="AK338"/>
      <c r="AL338"/>
      <c r="AM338"/>
      <c r="AN338"/>
    </row>
    <row r="339" spans="1:40" ht="13">
      <c r="A339" s="5"/>
      <c r="B339" s="5"/>
      <c r="J339"/>
      <c r="K339"/>
      <c r="L339"/>
      <c r="Q339"/>
      <c r="R339"/>
      <c r="S339"/>
      <c r="AK339"/>
      <c r="AL339"/>
      <c r="AM339"/>
      <c r="AN339"/>
    </row>
    <row r="340" spans="1:40" ht="13">
      <c r="A340" s="5"/>
      <c r="B340" s="5"/>
      <c r="J340"/>
      <c r="K340"/>
      <c r="L340"/>
      <c r="Q340"/>
      <c r="R340"/>
      <c r="S340"/>
      <c r="AK340"/>
      <c r="AL340"/>
      <c r="AM340"/>
      <c r="AN340"/>
    </row>
    <row r="341" spans="1:40" ht="13">
      <c r="A341" s="5"/>
      <c r="B341" s="5"/>
      <c r="J341"/>
      <c r="K341"/>
      <c r="L341"/>
      <c r="Q341"/>
      <c r="R341"/>
      <c r="S341"/>
      <c r="AK341"/>
      <c r="AL341"/>
      <c r="AM341"/>
      <c r="AN341"/>
    </row>
    <row r="342" spans="1:40" ht="13">
      <c r="A342" s="5"/>
      <c r="B342" s="5"/>
      <c r="J342"/>
      <c r="K342"/>
      <c r="L342"/>
      <c r="Q342"/>
      <c r="R342"/>
      <c r="S342"/>
      <c r="AK342"/>
      <c r="AL342"/>
      <c r="AM342"/>
      <c r="AN342"/>
    </row>
    <row r="343" spans="1:40" ht="13">
      <c r="A343" s="5"/>
      <c r="B343" s="5"/>
      <c r="J343"/>
      <c r="K343"/>
      <c r="L343"/>
      <c r="Q343"/>
      <c r="R343"/>
      <c r="S343"/>
      <c r="AK343"/>
      <c r="AL343"/>
      <c r="AM343"/>
      <c r="AN343"/>
    </row>
    <row r="344" spans="1:40" ht="13">
      <c r="A344" s="5"/>
      <c r="B344" s="5"/>
      <c r="J344"/>
      <c r="K344"/>
      <c r="L344"/>
      <c r="Q344"/>
      <c r="R344"/>
      <c r="S344"/>
      <c r="AK344"/>
      <c r="AL344"/>
      <c r="AM344"/>
      <c r="AN344"/>
    </row>
    <row r="345" spans="1:40" ht="13">
      <c r="A345" s="5"/>
      <c r="B345" s="5"/>
      <c r="J345"/>
      <c r="K345"/>
      <c r="L345"/>
      <c r="Q345"/>
      <c r="R345"/>
      <c r="S345"/>
      <c r="AK345"/>
      <c r="AL345"/>
      <c r="AM345"/>
      <c r="AN345"/>
    </row>
    <row r="346" spans="1:40" ht="13">
      <c r="A346" s="5"/>
      <c r="B346" s="5"/>
      <c r="J346"/>
      <c r="K346"/>
      <c r="L346"/>
      <c r="Q346"/>
      <c r="R346"/>
      <c r="S346"/>
      <c r="AK346"/>
      <c r="AL346"/>
      <c r="AM346"/>
      <c r="AN346"/>
    </row>
    <row r="347" spans="1:40" ht="13">
      <c r="A347" s="5"/>
      <c r="B347" s="5"/>
      <c r="J347"/>
      <c r="K347"/>
      <c r="L347"/>
      <c r="Q347"/>
      <c r="R347"/>
      <c r="S347"/>
      <c r="AK347"/>
      <c r="AL347"/>
      <c r="AM347"/>
      <c r="AN347"/>
    </row>
    <row r="348" spans="1:40" ht="13">
      <c r="A348" s="5"/>
      <c r="B348" s="5"/>
      <c r="J348"/>
      <c r="K348"/>
      <c r="L348"/>
      <c r="Q348"/>
      <c r="R348"/>
      <c r="S348"/>
      <c r="AK348"/>
      <c r="AL348"/>
      <c r="AM348"/>
      <c r="AN348"/>
    </row>
    <row r="349" spans="1:40" ht="13">
      <c r="A349" s="5"/>
      <c r="B349" s="5"/>
      <c r="J349"/>
      <c r="K349"/>
      <c r="L349"/>
      <c r="Q349"/>
      <c r="R349"/>
      <c r="S349"/>
      <c r="AK349"/>
      <c r="AL349"/>
      <c r="AM349"/>
      <c r="AN349"/>
    </row>
    <row r="350" spans="1:40" ht="13">
      <c r="A350" s="5"/>
      <c r="B350" s="5"/>
      <c r="J350"/>
      <c r="K350"/>
      <c r="L350"/>
      <c r="Q350"/>
      <c r="R350"/>
      <c r="S350"/>
      <c r="AK350"/>
      <c r="AL350"/>
      <c r="AM350"/>
      <c r="AN350"/>
    </row>
    <row r="351" spans="1:40" ht="13">
      <c r="A351" s="5"/>
      <c r="B351" s="5"/>
      <c r="J351"/>
      <c r="K351"/>
      <c r="L351"/>
      <c r="Q351"/>
      <c r="R351"/>
      <c r="S351"/>
      <c r="AK351"/>
      <c r="AL351"/>
      <c r="AM351"/>
      <c r="AN351"/>
    </row>
    <row r="352" spans="1:40" ht="13">
      <c r="A352" s="5"/>
      <c r="B352" s="5"/>
      <c r="J352"/>
      <c r="K352"/>
      <c r="L352"/>
      <c r="Q352"/>
      <c r="R352"/>
      <c r="S352"/>
      <c r="AK352"/>
      <c r="AL352"/>
      <c r="AM352"/>
      <c r="AN352"/>
    </row>
    <row r="353" spans="1:40" ht="13">
      <c r="A353" s="5"/>
      <c r="B353" s="5"/>
      <c r="J353"/>
      <c r="K353"/>
      <c r="L353"/>
      <c r="Q353"/>
      <c r="R353"/>
      <c r="S353"/>
      <c r="AK353"/>
      <c r="AL353"/>
      <c r="AM353"/>
      <c r="AN353"/>
    </row>
    <row r="354" spans="1:40" ht="13">
      <c r="A354" s="5"/>
      <c r="B354" s="5"/>
      <c r="J354"/>
      <c r="K354"/>
      <c r="L354"/>
      <c r="Q354"/>
      <c r="R354"/>
      <c r="S354"/>
      <c r="AK354"/>
      <c r="AL354"/>
      <c r="AM354"/>
      <c r="AN354"/>
    </row>
    <row r="355" spans="1:40" ht="13">
      <c r="A355" s="5"/>
      <c r="B355" s="5"/>
      <c r="J355"/>
      <c r="K355"/>
      <c r="L355"/>
      <c r="Q355"/>
      <c r="R355"/>
      <c r="S355"/>
      <c r="AK355"/>
      <c r="AL355"/>
      <c r="AM355"/>
      <c r="AN355"/>
    </row>
    <row r="356" spans="1:40" ht="13">
      <c r="A356" s="5"/>
      <c r="B356" s="5"/>
      <c r="J356"/>
      <c r="K356"/>
      <c r="L356"/>
      <c r="Q356"/>
      <c r="R356"/>
      <c r="S356"/>
      <c r="AK356"/>
      <c r="AL356"/>
      <c r="AM356"/>
      <c r="AN356"/>
    </row>
    <row r="357" spans="1:40" ht="13">
      <c r="A357" s="5"/>
      <c r="B357" s="5"/>
      <c r="J357"/>
      <c r="K357"/>
      <c r="L357"/>
      <c r="Q357"/>
      <c r="R357"/>
      <c r="S357"/>
      <c r="AK357"/>
      <c r="AL357"/>
      <c r="AM357"/>
      <c r="AN357"/>
    </row>
    <row r="358" spans="1:40" ht="13">
      <c r="A358" s="5"/>
      <c r="B358" s="5"/>
      <c r="J358"/>
      <c r="K358"/>
      <c r="L358"/>
      <c r="Q358"/>
      <c r="R358"/>
      <c r="S358"/>
      <c r="AK358"/>
      <c r="AL358"/>
      <c r="AM358"/>
      <c r="AN358"/>
    </row>
    <row r="359" spans="1:40" ht="13">
      <c r="A359" s="5"/>
      <c r="B359" s="5"/>
      <c r="J359"/>
      <c r="K359"/>
      <c r="L359"/>
      <c r="Q359"/>
      <c r="R359"/>
      <c r="S359"/>
      <c r="AK359"/>
      <c r="AL359"/>
      <c r="AM359"/>
      <c r="AN359"/>
    </row>
    <row r="360" spans="1:40" ht="13">
      <c r="A360" s="5"/>
      <c r="B360" s="5"/>
      <c r="J360"/>
      <c r="K360"/>
      <c r="L360"/>
      <c r="Q360"/>
      <c r="R360"/>
      <c r="S360"/>
      <c r="AK360"/>
      <c r="AL360"/>
      <c r="AM360"/>
      <c r="AN360"/>
    </row>
    <row r="361" spans="1:40" ht="13">
      <c r="A361" s="5"/>
      <c r="B361" s="5"/>
      <c r="J361"/>
      <c r="K361"/>
      <c r="L361"/>
      <c r="Q361"/>
      <c r="R361"/>
      <c r="S361"/>
      <c r="AK361"/>
      <c r="AL361"/>
      <c r="AM361"/>
      <c r="AN361"/>
    </row>
    <row r="362" spans="1:40" ht="13">
      <c r="A362" s="5"/>
      <c r="B362" s="5"/>
      <c r="J362"/>
      <c r="K362"/>
      <c r="L362"/>
      <c r="Q362"/>
      <c r="R362"/>
      <c r="S362"/>
      <c r="AK362"/>
      <c r="AL362"/>
      <c r="AM362"/>
      <c r="AN362"/>
    </row>
    <row r="363" spans="1:40" ht="13">
      <c r="A363" s="5"/>
      <c r="B363" s="5"/>
      <c r="J363"/>
      <c r="K363"/>
      <c r="L363"/>
      <c r="Q363"/>
      <c r="R363"/>
      <c r="S363"/>
      <c r="AK363"/>
      <c r="AL363"/>
      <c r="AM363"/>
      <c r="AN363"/>
    </row>
    <row r="364" spans="1:40" ht="13">
      <c r="A364" s="5"/>
      <c r="B364" s="5"/>
      <c r="J364"/>
      <c r="K364"/>
      <c r="L364"/>
      <c r="Q364"/>
      <c r="R364"/>
      <c r="S364"/>
      <c r="AK364"/>
      <c r="AL364"/>
      <c r="AM364"/>
      <c r="AN364"/>
    </row>
    <row r="365" spans="1:40" ht="13">
      <c r="A365" s="5"/>
      <c r="B365" s="5"/>
      <c r="J365"/>
      <c r="K365"/>
      <c r="L365"/>
      <c r="Q365"/>
      <c r="R365"/>
      <c r="S365"/>
      <c r="AK365"/>
      <c r="AL365"/>
      <c r="AM365"/>
      <c r="AN365"/>
    </row>
    <row r="366" spans="1:40" ht="13">
      <c r="A366" s="5"/>
      <c r="B366" s="5"/>
      <c r="J366"/>
      <c r="K366"/>
      <c r="L366"/>
      <c r="Q366"/>
      <c r="R366"/>
      <c r="S366"/>
      <c r="AK366"/>
      <c r="AL366"/>
      <c r="AM366"/>
      <c r="AN366"/>
    </row>
    <row r="367" spans="1:40" ht="13">
      <c r="A367" s="5"/>
      <c r="B367" s="5"/>
      <c r="J367"/>
      <c r="K367"/>
      <c r="L367"/>
      <c r="Q367"/>
      <c r="R367"/>
      <c r="S367"/>
      <c r="AK367"/>
      <c r="AL367"/>
      <c r="AM367"/>
      <c r="AN367"/>
    </row>
    <row r="368" spans="1:40" ht="13">
      <c r="A368" s="5"/>
      <c r="B368" s="5"/>
      <c r="J368"/>
      <c r="K368"/>
      <c r="L368"/>
      <c r="Q368"/>
      <c r="R368"/>
      <c r="S368"/>
      <c r="AK368"/>
      <c r="AL368"/>
      <c r="AM368"/>
      <c r="AN368"/>
    </row>
    <row r="369" spans="1:40" ht="13">
      <c r="A369" s="5"/>
      <c r="B369" s="5"/>
      <c r="J369"/>
      <c r="K369"/>
      <c r="L369"/>
      <c r="Q369"/>
      <c r="R369"/>
      <c r="S369"/>
      <c r="AK369"/>
      <c r="AL369"/>
      <c r="AM369"/>
      <c r="AN369"/>
    </row>
    <row r="370" spans="1:40" ht="13">
      <c r="A370" s="5"/>
      <c r="B370" s="5"/>
      <c r="J370"/>
      <c r="K370"/>
      <c r="L370"/>
      <c r="Q370"/>
      <c r="R370"/>
      <c r="S370"/>
      <c r="AK370"/>
      <c r="AL370"/>
      <c r="AM370"/>
      <c r="AN370"/>
    </row>
    <row r="371" spans="1:40" ht="13">
      <c r="A371" s="5"/>
      <c r="B371" s="5"/>
      <c r="J371"/>
      <c r="K371"/>
      <c r="L371"/>
      <c r="Q371"/>
      <c r="R371"/>
      <c r="S371"/>
      <c r="AK371"/>
      <c r="AL371"/>
      <c r="AM371"/>
      <c r="AN371"/>
    </row>
    <row r="372" spans="1:40" ht="13">
      <c r="A372" s="5"/>
      <c r="B372" s="5"/>
      <c r="J372"/>
      <c r="K372"/>
      <c r="L372"/>
      <c r="Q372"/>
      <c r="R372"/>
      <c r="S372"/>
      <c r="AK372"/>
      <c r="AL372"/>
      <c r="AM372"/>
      <c r="AN372"/>
    </row>
    <row r="373" spans="1:40" ht="13">
      <c r="A373" s="5"/>
      <c r="B373" s="5"/>
      <c r="J373"/>
      <c r="K373"/>
      <c r="L373"/>
      <c r="Q373"/>
      <c r="R373"/>
      <c r="S373"/>
      <c r="AK373"/>
      <c r="AL373"/>
      <c r="AM373"/>
      <c r="AN373"/>
    </row>
    <row r="374" spans="1:40" ht="13">
      <c r="A374" s="5"/>
      <c r="B374" s="5"/>
      <c r="J374"/>
      <c r="K374"/>
      <c r="L374"/>
      <c r="Q374"/>
      <c r="R374"/>
      <c r="S374"/>
      <c r="AK374"/>
      <c r="AL374"/>
      <c r="AM374"/>
      <c r="AN374"/>
    </row>
    <row r="375" spans="1:40" ht="13">
      <c r="A375" s="5"/>
      <c r="B375" s="5"/>
      <c r="J375"/>
      <c r="K375"/>
      <c r="L375"/>
      <c r="Q375"/>
      <c r="R375"/>
      <c r="S375"/>
      <c r="AK375"/>
      <c r="AL375"/>
      <c r="AM375"/>
      <c r="AN375"/>
    </row>
    <row r="376" spans="1:40" ht="13">
      <c r="A376" s="5"/>
      <c r="B376" s="5"/>
      <c r="J376"/>
      <c r="K376"/>
      <c r="L376"/>
      <c r="Q376"/>
      <c r="R376"/>
      <c r="S376"/>
      <c r="AK376"/>
      <c r="AL376"/>
      <c r="AM376"/>
      <c r="AN376"/>
    </row>
    <row r="377" spans="1:40" ht="13">
      <c r="A377" s="5"/>
      <c r="B377" s="5"/>
      <c r="J377"/>
      <c r="K377"/>
      <c r="L377"/>
      <c r="Q377"/>
      <c r="R377"/>
      <c r="S377"/>
      <c r="AK377"/>
      <c r="AL377"/>
      <c r="AM377"/>
      <c r="AN377"/>
    </row>
    <row r="378" spans="1:40" ht="13">
      <c r="A378" s="5"/>
      <c r="B378" s="5"/>
      <c r="J378"/>
      <c r="K378"/>
      <c r="L378"/>
      <c r="Q378"/>
      <c r="R378"/>
      <c r="S378"/>
      <c r="AK378"/>
      <c r="AL378"/>
      <c r="AM378"/>
      <c r="AN378"/>
    </row>
    <row r="379" spans="1:40" ht="13">
      <c r="A379" s="5"/>
      <c r="B379" s="5"/>
      <c r="J379"/>
      <c r="K379"/>
      <c r="L379"/>
      <c r="Q379"/>
      <c r="R379"/>
      <c r="S379"/>
      <c r="AK379"/>
      <c r="AL379"/>
      <c r="AM379"/>
      <c r="AN379"/>
    </row>
    <row r="380" spans="1:40" ht="13">
      <c r="A380" s="5"/>
      <c r="B380" s="5"/>
      <c r="J380"/>
      <c r="K380"/>
      <c r="L380"/>
      <c r="Q380"/>
      <c r="R380"/>
      <c r="S380"/>
      <c r="AK380"/>
      <c r="AL380"/>
      <c r="AM380"/>
      <c r="AN380"/>
    </row>
    <row r="381" spans="1:40" ht="13">
      <c r="A381" s="5"/>
      <c r="B381" s="5"/>
      <c r="J381"/>
      <c r="K381"/>
      <c r="L381"/>
      <c r="Q381"/>
      <c r="R381"/>
      <c r="S381"/>
      <c r="AK381"/>
      <c r="AL381"/>
      <c r="AM381"/>
      <c r="AN381"/>
    </row>
    <row r="382" spans="1:40" ht="13">
      <c r="A382" s="5"/>
      <c r="B382" s="5"/>
      <c r="J382"/>
      <c r="K382"/>
      <c r="L382"/>
      <c r="Q382"/>
      <c r="R382"/>
      <c r="S382"/>
      <c r="AK382"/>
      <c r="AL382"/>
      <c r="AM382"/>
      <c r="AN382"/>
    </row>
    <row r="383" spans="1:40" ht="13">
      <c r="A383" s="5"/>
      <c r="B383" s="5"/>
      <c r="J383"/>
      <c r="K383"/>
      <c r="L383"/>
      <c r="Q383"/>
      <c r="R383"/>
      <c r="S383"/>
      <c r="AK383"/>
      <c r="AL383"/>
      <c r="AM383"/>
      <c r="AN383"/>
    </row>
    <row r="384" spans="1:40" ht="13">
      <c r="A384" s="5"/>
      <c r="B384" s="5"/>
      <c r="J384"/>
      <c r="K384"/>
      <c r="L384"/>
      <c r="Q384"/>
      <c r="R384"/>
      <c r="S384"/>
      <c r="AK384"/>
      <c r="AL384"/>
      <c r="AM384"/>
      <c r="AN384"/>
    </row>
    <row r="385" spans="1:40" ht="13">
      <c r="A385" s="5"/>
      <c r="B385" s="5"/>
      <c r="J385"/>
      <c r="K385"/>
      <c r="L385"/>
      <c r="Q385"/>
      <c r="R385"/>
      <c r="S385"/>
      <c r="AK385"/>
      <c r="AL385"/>
      <c r="AM385"/>
      <c r="AN385"/>
    </row>
    <row r="386" spans="1:40" ht="13">
      <c r="A386" s="5"/>
      <c r="B386" s="5"/>
      <c r="J386"/>
      <c r="K386"/>
      <c r="L386"/>
      <c r="Q386"/>
      <c r="R386"/>
      <c r="S386"/>
      <c r="AK386"/>
      <c r="AL386"/>
      <c r="AM386"/>
      <c r="AN386"/>
    </row>
    <row r="387" spans="1:40" ht="13">
      <c r="A387" s="5"/>
      <c r="B387" s="5"/>
      <c r="J387"/>
      <c r="K387"/>
      <c r="L387"/>
      <c r="Q387"/>
      <c r="R387"/>
      <c r="S387"/>
      <c r="AK387"/>
      <c r="AL387"/>
      <c r="AM387"/>
      <c r="AN387"/>
    </row>
    <row r="388" spans="1:40" ht="13">
      <c r="A388" s="5"/>
      <c r="B388" s="5"/>
      <c r="J388"/>
      <c r="K388"/>
      <c r="L388"/>
      <c r="Q388"/>
      <c r="R388"/>
      <c r="S388"/>
      <c r="AK388"/>
      <c r="AL388"/>
      <c r="AM388"/>
      <c r="AN388"/>
    </row>
    <row r="389" spans="1:40" ht="13">
      <c r="A389" s="5"/>
      <c r="B389" s="5"/>
      <c r="J389"/>
      <c r="K389"/>
      <c r="L389"/>
      <c r="Q389"/>
      <c r="R389"/>
      <c r="S389"/>
      <c r="AK389"/>
      <c r="AL389"/>
      <c r="AM389"/>
      <c r="AN389"/>
    </row>
    <row r="390" spans="1:40" ht="13">
      <c r="A390" s="5"/>
      <c r="B390" s="5"/>
      <c r="J390"/>
      <c r="K390"/>
      <c r="L390"/>
      <c r="Q390"/>
      <c r="R390"/>
      <c r="S390"/>
      <c r="AK390"/>
      <c r="AL390"/>
      <c r="AM390"/>
      <c r="AN390"/>
    </row>
    <row r="391" spans="1:40" ht="13">
      <c r="A391" s="5"/>
      <c r="B391" s="5"/>
      <c r="J391"/>
      <c r="K391"/>
      <c r="L391"/>
      <c r="Q391"/>
      <c r="R391"/>
      <c r="S391"/>
      <c r="AK391"/>
      <c r="AL391"/>
      <c r="AM391"/>
      <c r="AN391"/>
    </row>
    <row r="392" spans="1:40" ht="13">
      <c r="A392" s="5"/>
      <c r="B392" s="5"/>
      <c r="J392"/>
      <c r="K392"/>
      <c r="L392"/>
      <c r="Q392"/>
      <c r="R392"/>
      <c r="S392"/>
      <c r="AK392"/>
      <c r="AL392"/>
      <c r="AM392"/>
      <c r="AN392"/>
    </row>
    <row r="393" spans="1:40" ht="13">
      <c r="A393" s="5"/>
      <c r="B393" s="5"/>
      <c r="J393"/>
      <c r="K393"/>
      <c r="L393"/>
      <c r="Q393"/>
      <c r="R393"/>
      <c r="S393"/>
      <c r="AK393"/>
      <c r="AL393"/>
      <c r="AM393"/>
      <c r="AN393"/>
    </row>
    <row r="394" spans="1:40" ht="13">
      <c r="A394" s="5"/>
      <c r="B394" s="5"/>
      <c r="J394"/>
      <c r="K394"/>
      <c r="L394"/>
      <c r="Q394"/>
      <c r="R394"/>
      <c r="S394"/>
      <c r="AK394"/>
      <c r="AL394"/>
      <c r="AM394"/>
      <c r="AN394"/>
    </row>
    <row r="395" spans="1:40" ht="13">
      <c r="A395" s="5"/>
      <c r="B395" s="5"/>
      <c r="J395"/>
      <c r="K395"/>
      <c r="L395"/>
      <c r="Q395"/>
      <c r="R395"/>
      <c r="S395"/>
      <c r="AK395"/>
      <c r="AL395"/>
      <c r="AM395"/>
      <c r="AN395"/>
    </row>
    <row r="396" spans="1:40" ht="13">
      <c r="A396" s="5"/>
      <c r="B396" s="5"/>
      <c r="J396"/>
      <c r="K396"/>
      <c r="L396"/>
      <c r="Q396"/>
      <c r="R396"/>
      <c r="S396"/>
      <c r="AK396"/>
      <c r="AL396"/>
      <c r="AM396"/>
      <c r="AN396"/>
    </row>
    <row r="397" spans="1:40" ht="13">
      <c r="A397" s="5"/>
      <c r="B397" s="5"/>
      <c r="J397"/>
      <c r="K397"/>
      <c r="L397"/>
      <c r="Q397"/>
      <c r="R397"/>
      <c r="S397"/>
      <c r="AK397"/>
      <c r="AL397"/>
      <c r="AM397"/>
      <c r="AN397"/>
    </row>
    <row r="398" spans="1:40" ht="13">
      <c r="A398" s="5"/>
      <c r="B398" s="5"/>
      <c r="J398"/>
      <c r="K398"/>
      <c r="L398"/>
      <c r="Q398"/>
      <c r="R398"/>
      <c r="S398"/>
      <c r="AK398"/>
      <c r="AL398"/>
      <c r="AM398"/>
      <c r="AN398"/>
    </row>
    <row r="399" spans="1:40" ht="13">
      <c r="A399" s="5"/>
      <c r="B399" s="5"/>
      <c r="J399"/>
      <c r="K399"/>
      <c r="L399"/>
      <c r="Q399"/>
      <c r="R399"/>
      <c r="S399"/>
      <c r="AK399"/>
      <c r="AL399"/>
      <c r="AM399"/>
      <c r="AN399"/>
    </row>
    <row r="400" spans="1:40" ht="13">
      <c r="A400" s="5"/>
      <c r="B400" s="5"/>
      <c r="J400"/>
      <c r="K400"/>
      <c r="L400"/>
      <c r="Q400"/>
      <c r="R400"/>
      <c r="S400"/>
      <c r="AK400"/>
      <c r="AL400"/>
      <c r="AM400"/>
      <c r="AN400"/>
    </row>
    <row r="401" spans="1:40" ht="13">
      <c r="A401" s="5"/>
      <c r="B401" s="5"/>
      <c r="J401"/>
      <c r="K401"/>
      <c r="L401"/>
      <c r="Q401"/>
      <c r="R401"/>
      <c r="S401"/>
      <c r="AK401"/>
      <c r="AL401"/>
      <c r="AM401"/>
      <c r="AN401"/>
    </row>
    <row r="402" spans="1:40" ht="13">
      <c r="A402" s="5"/>
      <c r="B402" s="5"/>
      <c r="J402"/>
      <c r="K402"/>
      <c r="L402"/>
      <c r="Q402"/>
      <c r="R402"/>
      <c r="S402"/>
      <c r="AK402"/>
      <c r="AL402"/>
      <c r="AM402"/>
      <c r="AN402"/>
    </row>
    <row r="403" spans="1:40" ht="13">
      <c r="A403" s="5"/>
      <c r="B403" s="5"/>
      <c r="J403"/>
      <c r="K403"/>
      <c r="L403"/>
      <c r="Q403"/>
      <c r="R403"/>
      <c r="S403"/>
      <c r="AK403"/>
      <c r="AL403"/>
      <c r="AM403"/>
      <c r="AN403"/>
    </row>
    <row r="404" spans="1:40" ht="13">
      <c r="A404" s="5"/>
      <c r="B404" s="5"/>
      <c r="J404"/>
      <c r="K404"/>
      <c r="L404"/>
      <c r="Q404"/>
      <c r="R404"/>
      <c r="S404"/>
      <c r="AK404"/>
      <c r="AL404"/>
      <c r="AM404"/>
      <c r="AN404"/>
    </row>
    <row r="405" spans="1:40" ht="13">
      <c r="A405" s="5"/>
      <c r="B405" s="5"/>
      <c r="J405"/>
      <c r="K405"/>
      <c r="L405"/>
      <c r="Q405"/>
      <c r="R405"/>
      <c r="S405"/>
      <c r="AK405"/>
      <c r="AL405"/>
      <c r="AM405"/>
      <c r="AN405"/>
    </row>
    <row r="406" spans="1:40" ht="13">
      <c r="A406" s="5"/>
      <c r="B406" s="5"/>
      <c r="J406"/>
      <c r="K406"/>
      <c r="L406"/>
      <c r="Q406"/>
      <c r="R406"/>
      <c r="S406"/>
      <c r="AK406"/>
      <c r="AL406"/>
      <c r="AM406"/>
      <c r="AN406"/>
    </row>
    <row r="407" spans="1:40" ht="13">
      <c r="A407" s="5"/>
      <c r="B407" s="5"/>
      <c r="J407"/>
      <c r="K407"/>
      <c r="L407"/>
      <c r="Q407"/>
      <c r="R407"/>
      <c r="S407"/>
      <c r="AK407"/>
      <c r="AL407"/>
      <c r="AM407"/>
      <c r="AN407"/>
    </row>
    <row r="408" spans="1:40" ht="13">
      <c r="A408" s="5"/>
      <c r="B408" s="5"/>
      <c r="J408"/>
      <c r="K408"/>
      <c r="L408"/>
      <c r="Q408"/>
      <c r="R408"/>
      <c r="S408"/>
      <c r="AK408"/>
      <c r="AL408"/>
      <c r="AM408"/>
      <c r="AN408"/>
    </row>
    <row r="409" spans="1:40" ht="13">
      <c r="A409" s="5"/>
      <c r="B409" s="5"/>
      <c r="J409"/>
      <c r="K409"/>
      <c r="L409"/>
      <c r="Q409"/>
      <c r="R409"/>
      <c r="S409"/>
      <c r="AK409"/>
      <c r="AL409"/>
      <c r="AM409"/>
      <c r="AN409"/>
    </row>
    <row r="410" spans="1:40" ht="13">
      <c r="A410" s="5"/>
      <c r="B410" s="5"/>
      <c r="J410"/>
      <c r="K410"/>
      <c r="L410"/>
      <c r="Q410"/>
      <c r="R410"/>
      <c r="S410"/>
      <c r="AK410"/>
      <c r="AL410"/>
      <c r="AM410"/>
      <c r="AN410"/>
    </row>
    <row r="411" spans="1:40" ht="13">
      <c r="A411" s="5"/>
      <c r="B411" s="5"/>
      <c r="J411"/>
      <c r="K411"/>
      <c r="L411"/>
      <c r="Q411"/>
      <c r="R411"/>
      <c r="S411"/>
      <c r="AK411"/>
      <c r="AL411"/>
      <c r="AM411"/>
      <c r="AN411"/>
    </row>
    <row r="412" spans="1:40" ht="13">
      <c r="A412" s="5"/>
      <c r="B412" s="5"/>
      <c r="J412"/>
      <c r="K412"/>
      <c r="L412"/>
      <c r="Q412"/>
      <c r="R412"/>
      <c r="S412"/>
      <c r="AK412"/>
      <c r="AL412"/>
      <c r="AM412"/>
      <c r="AN412"/>
    </row>
    <row r="413" spans="1:40" ht="13">
      <c r="A413" s="5"/>
      <c r="B413" s="5"/>
      <c r="J413"/>
      <c r="K413"/>
      <c r="L413"/>
      <c r="Q413"/>
      <c r="R413"/>
      <c r="S413"/>
      <c r="AK413"/>
      <c r="AL413"/>
      <c r="AM413"/>
      <c r="AN413"/>
    </row>
    <row r="414" spans="1:40" ht="13">
      <c r="A414" s="5"/>
      <c r="B414" s="5"/>
      <c r="J414"/>
      <c r="K414"/>
      <c r="L414"/>
      <c r="Q414"/>
      <c r="R414"/>
      <c r="S414"/>
      <c r="AK414"/>
      <c r="AL414"/>
      <c r="AM414"/>
      <c r="AN414"/>
    </row>
    <row r="415" spans="1:40" ht="13">
      <c r="A415" s="5"/>
      <c r="B415" s="5"/>
      <c r="J415"/>
      <c r="K415"/>
      <c r="L415"/>
      <c r="Q415"/>
      <c r="R415"/>
      <c r="S415"/>
      <c r="AK415"/>
      <c r="AL415"/>
      <c r="AM415"/>
      <c r="AN415"/>
    </row>
    <row r="416" spans="1:40" ht="13">
      <c r="A416" s="5"/>
      <c r="B416" s="5"/>
      <c r="J416"/>
      <c r="K416"/>
      <c r="L416"/>
      <c r="Q416"/>
      <c r="R416"/>
      <c r="S416"/>
      <c r="AK416"/>
      <c r="AL416"/>
      <c r="AM416"/>
      <c r="AN416"/>
    </row>
    <row r="417" spans="1:40" ht="13">
      <c r="A417" s="5"/>
      <c r="B417" s="5"/>
      <c r="J417"/>
      <c r="K417"/>
      <c r="L417"/>
      <c r="Q417"/>
      <c r="R417"/>
      <c r="S417"/>
      <c r="AK417"/>
      <c r="AL417"/>
      <c r="AM417"/>
      <c r="AN417"/>
    </row>
    <row r="418" spans="1:40" ht="13">
      <c r="A418" s="5"/>
      <c r="B418" s="5"/>
      <c r="J418"/>
      <c r="K418"/>
      <c r="L418"/>
      <c r="Q418"/>
      <c r="R418"/>
      <c r="S418"/>
      <c r="AK418"/>
      <c r="AL418"/>
      <c r="AM418"/>
      <c r="AN418"/>
    </row>
    <row r="419" spans="1:40" ht="13">
      <c r="A419" s="5"/>
      <c r="B419" s="5"/>
      <c r="J419"/>
      <c r="K419"/>
      <c r="L419"/>
      <c r="Q419"/>
      <c r="R419"/>
      <c r="S419"/>
      <c r="AK419"/>
      <c r="AL419"/>
      <c r="AM419"/>
      <c r="AN419"/>
    </row>
    <row r="420" spans="1:40" ht="13">
      <c r="A420" s="5"/>
      <c r="B420" s="5"/>
      <c r="J420"/>
      <c r="K420"/>
      <c r="L420"/>
      <c r="Q420"/>
      <c r="R420"/>
      <c r="S420"/>
      <c r="AK420"/>
      <c r="AL420"/>
      <c r="AM420"/>
      <c r="AN420"/>
    </row>
    <row r="421" spans="1:40" ht="13">
      <c r="A421" s="5"/>
      <c r="B421" s="5"/>
      <c r="J421"/>
      <c r="K421"/>
      <c r="L421"/>
      <c r="Q421"/>
      <c r="R421"/>
      <c r="S421"/>
      <c r="AK421"/>
      <c r="AL421"/>
      <c r="AM421"/>
      <c r="AN421"/>
    </row>
    <row r="422" spans="1:40" ht="13">
      <c r="A422" s="5"/>
      <c r="B422" s="5"/>
      <c r="J422"/>
      <c r="K422"/>
      <c r="L422"/>
      <c r="Q422"/>
      <c r="R422"/>
      <c r="S422"/>
      <c r="AK422"/>
      <c r="AL422"/>
      <c r="AM422"/>
      <c r="AN422"/>
    </row>
    <row r="423" spans="1:40" ht="13">
      <c r="A423" s="5"/>
      <c r="B423" s="5"/>
      <c r="J423"/>
      <c r="K423"/>
      <c r="L423"/>
      <c r="Q423"/>
      <c r="R423"/>
      <c r="S423"/>
      <c r="AK423"/>
      <c r="AL423"/>
      <c r="AM423"/>
      <c r="AN423"/>
    </row>
    <row r="424" spans="1:40" ht="13">
      <c r="A424" s="5"/>
      <c r="B424" s="5"/>
      <c r="J424"/>
      <c r="K424"/>
      <c r="L424"/>
      <c r="Q424"/>
      <c r="R424"/>
      <c r="S424"/>
      <c r="AK424"/>
      <c r="AL424"/>
      <c r="AM424"/>
      <c r="AN424"/>
    </row>
    <row r="425" spans="1:40" ht="13">
      <c r="A425" s="5"/>
      <c r="B425" s="5"/>
      <c r="J425"/>
      <c r="K425"/>
      <c r="L425"/>
      <c r="Q425"/>
      <c r="R425"/>
      <c r="S425"/>
      <c r="AK425"/>
      <c r="AL425"/>
      <c r="AM425"/>
      <c r="AN425"/>
    </row>
    <row r="426" spans="1:40" ht="13">
      <c r="A426" s="5"/>
      <c r="B426" s="5"/>
      <c r="J426"/>
      <c r="K426"/>
      <c r="L426"/>
      <c r="Q426"/>
      <c r="R426"/>
      <c r="S426"/>
      <c r="AK426"/>
      <c r="AL426"/>
      <c r="AM426"/>
      <c r="AN426"/>
    </row>
    <row r="427" spans="1:40" ht="13">
      <c r="A427" s="5"/>
      <c r="B427" s="5"/>
      <c r="J427"/>
      <c r="K427"/>
      <c r="L427"/>
      <c r="Q427"/>
      <c r="R427"/>
      <c r="S427"/>
      <c r="AK427"/>
      <c r="AL427"/>
      <c r="AM427"/>
      <c r="AN427"/>
    </row>
    <row r="428" spans="1:40" ht="13">
      <c r="A428" s="5"/>
      <c r="B428" s="5"/>
      <c r="J428"/>
      <c r="K428"/>
      <c r="L428"/>
      <c r="Q428"/>
      <c r="R428"/>
      <c r="S428"/>
      <c r="AK428"/>
      <c r="AL428"/>
      <c r="AM428"/>
      <c r="AN428"/>
    </row>
    <row r="429" spans="1:40" ht="13">
      <c r="A429" s="5"/>
      <c r="B429" s="5"/>
      <c r="J429"/>
      <c r="K429"/>
      <c r="L429"/>
      <c r="Q429"/>
      <c r="R429"/>
      <c r="S429"/>
      <c r="AK429"/>
      <c r="AL429"/>
      <c r="AM429"/>
      <c r="AN429"/>
    </row>
    <row r="430" spans="1:40" ht="13">
      <c r="A430" s="5"/>
      <c r="B430" s="5"/>
      <c r="J430"/>
      <c r="K430"/>
      <c r="L430"/>
      <c r="Q430"/>
      <c r="R430"/>
      <c r="S430"/>
      <c r="AK430"/>
      <c r="AL430"/>
      <c r="AM430"/>
      <c r="AN430"/>
    </row>
    <row r="431" spans="1:40" ht="13">
      <c r="A431" s="5"/>
      <c r="B431" s="5"/>
      <c r="J431"/>
      <c r="K431"/>
      <c r="L431"/>
      <c r="Q431"/>
      <c r="R431"/>
      <c r="S431"/>
      <c r="AK431"/>
      <c r="AL431"/>
      <c r="AM431"/>
      <c r="AN431"/>
    </row>
    <row r="432" spans="1:40" ht="13">
      <c r="A432" s="5"/>
      <c r="B432" s="5"/>
      <c r="J432"/>
      <c r="K432"/>
      <c r="L432"/>
      <c r="Q432"/>
      <c r="R432"/>
      <c r="S432"/>
      <c r="AK432"/>
      <c r="AL432"/>
      <c r="AM432"/>
      <c r="AN432"/>
    </row>
    <row r="433" spans="1:40" ht="13">
      <c r="A433" s="5"/>
      <c r="B433" s="5"/>
      <c r="J433"/>
      <c r="K433"/>
      <c r="L433"/>
      <c r="Q433"/>
      <c r="R433"/>
      <c r="S433"/>
      <c r="AK433"/>
      <c r="AL433"/>
      <c r="AM433"/>
      <c r="AN433"/>
    </row>
    <row r="434" spans="1:40" ht="13">
      <c r="A434" s="5"/>
      <c r="B434" s="5"/>
      <c r="J434"/>
      <c r="K434"/>
      <c r="L434"/>
      <c r="Q434"/>
      <c r="R434"/>
      <c r="S434"/>
      <c r="AK434"/>
      <c r="AL434"/>
      <c r="AM434"/>
      <c r="AN434"/>
    </row>
    <row r="435" spans="1:40" ht="13">
      <c r="A435" s="5"/>
      <c r="B435" s="5"/>
      <c r="J435"/>
      <c r="K435"/>
      <c r="L435"/>
      <c r="Q435"/>
      <c r="R435"/>
      <c r="S435"/>
      <c r="AK435"/>
      <c r="AL435"/>
      <c r="AM435"/>
      <c r="AN435"/>
    </row>
    <row r="436" spans="1:40" ht="13">
      <c r="A436" s="5"/>
      <c r="B436" s="5"/>
      <c r="J436"/>
      <c r="K436"/>
      <c r="L436"/>
      <c r="Q436"/>
      <c r="R436"/>
      <c r="S436"/>
      <c r="AK436"/>
      <c r="AL436"/>
      <c r="AM436"/>
      <c r="AN436"/>
    </row>
    <row r="437" spans="1:40" ht="13">
      <c r="A437" s="5"/>
      <c r="B437" s="5"/>
      <c r="J437"/>
      <c r="K437"/>
      <c r="L437"/>
      <c r="Q437"/>
      <c r="R437"/>
      <c r="S437"/>
      <c r="AK437"/>
      <c r="AL437"/>
      <c r="AM437"/>
      <c r="AN437"/>
    </row>
    <row r="438" spans="1:40" ht="13">
      <c r="A438" s="5"/>
      <c r="B438" s="5"/>
      <c r="J438"/>
      <c r="K438"/>
      <c r="L438"/>
      <c r="Q438"/>
      <c r="R438"/>
      <c r="S438"/>
      <c r="AK438"/>
      <c r="AL438"/>
      <c r="AM438"/>
      <c r="AN438"/>
    </row>
    <row r="439" spans="1:40" ht="13">
      <c r="A439" s="5"/>
      <c r="B439" s="5"/>
      <c r="J439"/>
      <c r="K439"/>
      <c r="L439"/>
      <c r="Q439"/>
      <c r="R439"/>
      <c r="S439"/>
      <c r="AK439"/>
      <c r="AL439"/>
      <c r="AM439"/>
      <c r="AN439"/>
    </row>
    <row r="440" spans="1:40" ht="13">
      <c r="A440" s="5"/>
      <c r="B440" s="5"/>
      <c r="J440"/>
      <c r="K440"/>
      <c r="L440"/>
      <c r="Q440"/>
      <c r="R440"/>
      <c r="S440"/>
      <c r="AK440"/>
      <c r="AL440"/>
      <c r="AM440"/>
      <c r="AN440"/>
    </row>
    <row r="441" spans="1:40" ht="13">
      <c r="A441" s="5"/>
      <c r="B441" s="5"/>
      <c r="J441"/>
      <c r="K441"/>
      <c r="L441"/>
      <c r="Q441"/>
      <c r="R441"/>
      <c r="S441"/>
      <c r="AK441"/>
      <c r="AL441"/>
      <c r="AM441"/>
      <c r="AN441"/>
    </row>
    <row r="442" spans="1:40" ht="13">
      <c r="A442" s="5"/>
      <c r="B442" s="5"/>
      <c r="J442"/>
      <c r="K442"/>
      <c r="L442"/>
      <c r="Q442"/>
      <c r="R442"/>
      <c r="S442"/>
      <c r="AK442"/>
      <c r="AL442"/>
      <c r="AM442"/>
      <c r="AN442"/>
    </row>
    <row r="443" spans="1:40" ht="13">
      <c r="A443" s="5"/>
      <c r="B443" s="5"/>
      <c r="J443"/>
      <c r="K443"/>
      <c r="L443"/>
      <c r="Q443"/>
      <c r="R443"/>
      <c r="S443"/>
      <c r="AK443"/>
      <c r="AL443"/>
      <c r="AM443"/>
      <c r="AN443"/>
    </row>
    <row r="444" spans="1:40" ht="13">
      <c r="A444" s="5"/>
      <c r="B444" s="5"/>
      <c r="J444"/>
      <c r="K444"/>
      <c r="L444"/>
      <c r="Q444"/>
      <c r="R444"/>
      <c r="S444"/>
      <c r="AK444"/>
      <c r="AL444"/>
      <c r="AM444"/>
      <c r="AN444"/>
    </row>
    <row r="445" spans="1:40" ht="13">
      <c r="A445" s="5"/>
      <c r="B445" s="5"/>
      <c r="J445"/>
      <c r="K445"/>
      <c r="L445"/>
      <c r="Q445"/>
      <c r="R445"/>
      <c r="S445"/>
      <c r="AK445"/>
      <c r="AL445"/>
      <c r="AM445"/>
      <c r="AN445"/>
    </row>
    <row r="446" spans="1:40" ht="13">
      <c r="A446" s="5"/>
      <c r="B446" s="5"/>
      <c r="J446"/>
      <c r="K446"/>
      <c r="L446"/>
      <c r="Q446"/>
      <c r="R446"/>
      <c r="S446"/>
      <c r="AK446"/>
      <c r="AL446"/>
      <c r="AM446"/>
      <c r="AN446"/>
    </row>
    <row r="447" spans="1:40" ht="13">
      <c r="A447" s="5"/>
      <c r="B447" s="5"/>
      <c r="J447"/>
      <c r="K447"/>
      <c r="L447"/>
      <c r="Q447"/>
      <c r="R447"/>
      <c r="S447"/>
      <c r="AK447"/>
      <c r="AL447"/>
      <c r="AM447"/>
      <c r="AN447"/>
    </row>
    <row r="448" spans="1:40" ht="13">
      <c r="A448" s="5"/>
      <c r="B448" s="5"/>
      <c r="J448"/>
      <c r="K448"/>
      <c r="L448"/>
      <c r="Q448"/>
      <c r="R448"/>
      <c r="S448"/>
      <c r="AK448"/>
      <c r="AL448"/>
      <c r="AM448"/>
      <c r="AN448"/>
    </row>
    <row r="449" spans="1:40" ht="13">
      <c r="A449" s="5"/>
      <c r="B449" s="5"/>
      <c r="J449"/>
      <c r="K449"/>
      <c r="L449"/>
      <c r="Q449"/>
      <c r="R449"/>
      <c r="S449"/>
      <c r="AK449"/>
      <c r="AL449"/>
      <c r="AM449"/>
      <c r="AN449"/>
    </row>
    <row r="450" spans="1:40" ht="13">
      <c r="A450" s="5"/>
      <c r="B450" s="5"/>
      <c r="J450"/>
      <c r="K450"/>
      <c r="L450"/>
      <c r="Q450"/>
      <c r="R450"/>
      <c r="S450"/>
      <c r="AK450"/>
      <c r="AL450"/>
      <c r="AM450"/>
      <c r="AN450"/>
    </row>
    <row r="451" spans="1:40" ht="13">
      <c r="A451" s="5"/>
      <c r="B451" s="5"/>
      <c r="J451"/>
      <c r="K451"/>
      <c r="L451"/>
      <c r="Q451"/>
      <c r="R451"/>
      <c r="S451"/>
      <c r="AK451"/>
      <c r="AL451"/>
      <c r="AM451"/>
      <c r="AN451"/>
    </row>
    <row r="452" spans="1:40" ht="13">
      <c r="A452" s="5"/>
      <c r="B452" s="5"/>
      <c r="J452"/>
      <c r="K452"/>
      <c r="L452"/>
      <c r="Q452"/>
      <c r="R452"/>
      <c r="S452"/>
      <c r="AK452"/>
      <c r="AL452"/>
      <c r="AM452"/>
      <c r="AN452"/>
    </row>
    <row r="453" spans="1:40" ht="13">
      <c r="A453" s="5"/>
      <c r="B453" s="5"/>
      <c r="J453"/>
      <c r="K453"/>
      <c r="L453"/>
      <c r="Q453"/>
      <c r="R453"/>
      <c r="S453"/>
      <c r="AK453"/>
      <c r="AL453"/>
      <c r="AM453"/>
      <c r="AN453"/>
    </row>
    <row r="454" spans="1:40" ht="13">
      <c r="A454" s="5"/>
      <c r="B454" s="5"/>
      <c r="J454"/>
      <c r="K454"/>
      <c r="L454"/>
      <c r="Q454"/>
      <c r="R454"/>
      <c r="S454"/>
      <c r="AK454"/>
      <c r="AL454"/>
      <c r="AM454"/>
      <c r="AN454"/>
    </row>
    <row r="455" spans="1:40" ht="13">
      <c r="A455" s="5"/>
      <c r="B455" s="5"/>
      <c r="J455"/>
      <c r="K455"/>
      <c r="L455"/>
      <c r="Q455"/>
      <c r="R455"/>
      <c r="S455"/>
      <c r="AK455"/>
      <c r="AL455"/>
      <c r="AM455"/>
      <c r="AN455"/>
    </row>
    <row r="456" spans="1:40" ht="13">
      <c r="A456" s="5"/>
      <c r="B456" s="5"/>
      <c r="J456"/>
      <c r="K456"/>
      <c r="L456"/>
      <c r="Q456"/>
      <c r="R456"/>
      <c r="S456"/>
      <c r="AK456"/>
      <c r="AL456"/>
      <c r="AM456"/>
      <c r="AN456"/>
    </row>
    <row r="457" spans="1:40" ht="13">
      <c r="A457" s="5"/>
      <c r="B457" s="5"/>
      <c r="J457"/>
      <c r="K457"/>
      <c r="L457"/>
      <c r="Q457"/>
      <c r="R457"/>
      <c r="S457"/>
      <c r="AK457"/>
      <c r="AL457"/>
      <c r="AM457"/>
      <c r="AN457"/>
    </row>
    <row r="458" spans="1:40" ht="13">
      <c r="A458" s="5"/>
      <c r="B458" s="5"/>
      <c r="J458"/>
      <c r="K458"/>
      <c r="L458"/>
      <c r="Q458"/>
      <c r="R458"/>
      <c r="S458"/>
      <c r="AK458"/>
      <c r="AL458"/>
      <c r="AM458"/>
      <c r="AN458"/>
    </row>
    <row r="459" spans="1:40" ht="13">
      <c r="A459" s="5"/>
      <c r="B459" s="5"/>
      <c r="J459"/>
      <c r="K459"/>
      <c r="L459"/>
      <c r="Q459"/>
      <c r="R459"/>
      <c r="S459"/>
      <c r="AK459"/>
      <c r="AL459"/>
      <c r="AM459"/>
      <c r="AN459"/>
    </row>
    <row r="460" spans="1:40" ht="13">
      <c r="A460" s="5"/>
      <c r="B460" s="5"/>
      <c r="J460"/>
      <c r="K460"/>
      <c r="L460"/>
      <c r="Q460"/>
      <c r="R460"/>
      <c r="S460"/>
      <c r="AK460"/>
      <c r="AL460"/>
      <c r="AM460"/>
      <c r="AN460"/>
    </row>
    <row r="461" spans="1:40" ht="13">
      <c r="A461" s="5"/>
      <c r="B461" s="5"/>
      <c r="J461"/>
      <c r="K461"/>
      <c r="L461"/>
      <c r="Q461"/>
      <c r="R461"/>
      <c r="S461"/>
      <c r="AK461"/>
      <c r="AL461"/>
      <c r="AM461"/>
      <c r="AN461"/>
    </row>
    <row r="462" spans="1:40" ht="13">
      <c r="A462" s="5"/>
      <c r="B462" s="5"/>
      <c r="J462"/>
      <c r="K462"/>
      <c r="L462"/>
      <c r="Q462"/>
      <c r="R462"/>
      <c r="S462"/>
      <c r="AK462"/>
      <c r="AL462"/>
      <c r="AM462"/>
      <c r="AN462"/>
    </row>
    <row r="463" spans="1:40" ht="13">
      <c r="A463" s="5"/>
      <c r="B463" s="5"/>
      <c r="J463"/>
      <c r="K463"/>
      <c r="L463"/>
      <c r="Q463"/>
      <c r="R463"/>
      <c r="S463"/>
      <c r="AK463"/>
      <c r="AL463"/>
      <c r="AM463"/>
      <c r="AN463"/>
    </row>
    <row r="464" spans="1:40" ht="13">
      <c r="A464" s="5"/>
      <c r="B464" s="5"/>
      <c r="J464"/>
      <c r="K464"/>
      <c r="L464"/>
      <c r="Q464"/>
      <c r="R464"/>
      <c r="S464"/>
      <c r="AK464"/>
      <c r="AL464"/>
      <c r="AM464"/>
      <c r="AN464"/>
    </row>
    <row r="465" spans="1:40" ht="13">
      <c r="A465" s="5"/>
      <c r="B465" s="5"/>
      <c r="J465"/>
      <c r="K465"/>
      <c r="L465"/>
      <c r="Q465"/>
      <c r="R465"/>
      <c r="S465"/>
      <c r="AK465"/>
      <c r="AL465"/>
      <c r="AM465"/>
      <c r="AN465"/>
    </row>
    <row r="466" spans="1:40" ht="13">
      <c r="A466" s="5"/>
      <c r="B466" s="5"/>
      <c r="J466"/>
      <c r="K466"/>
      <c r="L466"/>
      <c r="Q466"/>
      <c r="R466"/>
      <c r="S466"/>
      <c r="AK466"/>
      <c r="AL466"/>
      <c r="AM466"/>
      <c r="AN466"/>
    </row>
    <row r="467" spans="1:40" ht="13">
      <c r="A467" s="5"/>
      <c r="B467" s="5"/>
      <c r="J467"/>
      <c r="K467"/>
      <c r="L467"/>
      <c r="Q467"/>
      <c r="R467"/>
      <c r="S467"/>
      <c r="AK467"/>
      <c r="AL467"/>
      <c r="AM467"/>
      <c r="AN467"/>
    </row>
    <row r="468" spans="1:40" ht="13">
      <c r="A468" s="5"/>
      <c r="B468" s="5"/>
      <c r="J468"/>
      <c r="K468"/>
      <c r="L468"/>
      <c r="Q468"/>
      <c r="R468"/>
      <c r="S468"/>
      <c r="AK468"/>
      <c r="AL468"/>
      <c r="AM468"/>
      <c r="AN468"/>
    </row>
    <row r="469" spans="1:40" ht="13">
      <c r="A469" s="5"/>
      <c r="B469" s="5"/>
      <c r="J469"/>
      <c r="K469"/>
      <c r="L469"/>
      <c r="Q469"/>
      <c r="R469"/>
      <c r="S469"/>
      <c r="AK469"/>
      <c r="AL469"/>
      <c r="AM469"/>
      <c r="AN469"/>
    </row>
    <row r="470" spans="1:40" ht="13">
      <c r="A470" s="5"/>
      <c r="B470" s="5"/>
      <c r="J470"/>
      <c r="K470"/>
      <c r="L470"/>
      <c r="Q470"/>
      <c r="R470"/>
      <c r="S470"/>
      <c r="AK470"/>
      <c r="AL470"/>
      <c r="AM470"/>
      <c r="AN470"/>
    </row>
    <row r="471" spans="1:40" ht="13">
      <c r="A471" s="5"/>
      <c r="B471" s="5"/>
      <c r="J471"/>
      <c r="K471"/>
      <c r="L471"/>
      <c r="Q471"/>
      <c r="R471"/>
      <c r="S471"/>
      <c r="AK471"/>
      <c r="AL471"/>
      <c r="AM471"/>
      <c r="AN471"/>
    </row>
    <row r="472" spans="1:40" ht="13">
      <c r="A472" s="5"/>
      <c r="B472" s="5"/>
      <c r="J472"/>
      <c r="K472"/>
      <c r="L472"/>
      <c r="Q472"/>
      <c r="R472"/>
      <c r="S472"/>
      <c r="AK472"/>
      <c r="AL472"/>
      <c r="AM472"/>
      <c r="AN472"/>
    </row>
    <row r="473" spans="1:40" ht="13">
      <c r="A473" s="5"/>
      <c r="B473" s="5"/>
      <c r="J473"/>
      <c r="K473"/>
      <c r="L473"/>
      <c r="Q473"/>
      <c r="R473"/>
      <c r="S473"/>
      <c r="AK473"/>
      <c r="AL473"/>
      <c r="AM473"/>
      <c r="AN473"/>
    </row>
    <row r="474" spans="1:40" ht="13">
      <c r="A474" s="5"/>
      <c r="B474" s="5"/>
      <c r="J474"/>
      <c r="K474"/>
      <c r="L474"/>
      <c r="Q474"/>
      <c r="R474"/>
      <c r="S474"/>
      <c r="AK474"/>
      <c r="AL474"/>
      <c r="AM474"/>
      <c r="AN474"/>
    </row>
    <row r="475" spans="1:40" ht="13">
      <c r="A475" s="5"/>
      <c r="B475" s="5"/>
      <c r="J475"/>
      <c r="K475"/>
      <c r="L475"/>
      <c r="Q475"/>
      <c r="R475"/>
      <c r="S475"/>
      <c r="AK475"/>
      <c r="AL475"/>
      <c r="AM475"/>
      <c r="AN475"/>
    </row>
    <row r="476" spans="1:40" ht="13">
      <c r="A476" s="5"/>
      <c r="B476" s="5"/>
      <c r="J476"/>
      <c r="K476"/>
      <c r="L476"/>
      <c r="Q476"/>
      <c r="R476"/>
      <c r="S476"/>
      <c r="AK476"/>
      <c r="AL476"/>
      <c r="AM476"/>
      <c r="AN476"/>
    </row>
    <row r="477" spans="1:40" ht="13">
      <c r="A477" s="5"/>
      <c r="B477" s="5"/>
      <c r="J477"/>
      <c r="K477"/>
      <c r="L477"/>
      <c r="Q477"/>
      <c r="R477"/>
      <c r="S477"/>
      <c r="AK477"/>
      <c r="AL477"/>
      <c r="AM477"/>
      <c r="AN477"/>
    </row>
    <row r="478" spans="1:40" ht="13">
      <c r="A478" s="5"/>
      <c r="B478" s="5"/>
      <c r="J478"/>
      <c r="K478"/>
      <c r="L478"/>
      <c r="Q478"/>
      <c r="R478"/>
      <c r="S478"/>
      <c r="AK478"/>
      <c r="AL478"/>
      <c r="AM478"/>
      <c r="AN478"/>
    </row>
    <row r="479" spans="1:40" ht="13">
      <c r="A479" s="5"/>
      <c r="B479" s="5"/>
      <c r="J479"/>
      <c r="K479"/>
      <c r="L479"/>
      <c r="Q479"/>
      <c r="R479"/>
      <c r="S479"/>
      <c r="AK479"/>
      <c r="AL479"/>
      <c r="AM479"/>
      <c r="AN479"/>
    </row>
    <row r="480" spans="1:40" ht="13">
      <c r="A480" s="5"/>
      <c r="B480" s="5"/>
      <c r="J480"/>
      <c r="K480"/>
      <c r="L480"/>
      <c r="Q480"/>
      <c r="R480"/>
      <c r="S480"/>
      <c r="AK480"/>
      <c r="AL480"/>
      <c r="AM480"/>
      <c r="AN480"/>
    </row>
    <row r="481" spans="1:40" ht="13">
      <c r="A481" s="5"/>
      <c r="B481" s="5"/>
      <c r="J481"/>
      <c r="K481"/>
      <c r="L481"/>
      <c r="Q481"/>
      <c r="R481"/>
      <c r="S481"/>
      <c r="AK481"/>
      <c r="AL481"/>
      <c r="AM481"/>
      <c r="AN481"/>
    </row>
    <row r="482" spans="1:40" ht="13">
      <c r="A482" s="5"/>
      <c r="B482" s="5"/>
      <c r="J482"/>
      <c r="K482"/>
      <c r="L482"/>
      <c r="Q482"/>
      <c r="R482"/>
      <c r="S482"/>
      <c r="AK482"/>
      <c r="AL482"/>
      <c r="AM482"/>
      <c r="AN482"/>
    </row>
    <row r="483" spans="1:40" ht="13">
      <c r="A483" s="5"/>
      <c r="B483" s="5"/>
      <c r="J483"/>
      <c r="K483"/>
      <c r="L483"/>
      <c r="Q483"/>
      <c r="R483"/>
      <c r="S483"/>
      <c r="AK483"/>
      <c r="AL483"/>
      <c r="AM483"/>
      <c r="AN483"/>
    </row>
    <row r="484" spans="1:40" ht="13">
      <c r="A484" s="5"/>
      <c r="B484" s="5"/>
      <c r="J484"/>
      <c r="K484"/>
      <c r="L484"/>
      <c r="Q484"/>
      <c r="R484"/>
      <c r="S484"/>
      <c r="AK484"/>
      <c r="AL484"/>
      <c r="AM484"/>
      <c r="AN484"/>
    </row>
    <row r="485" spans="1:40" ht="13">
      <c r="A485" s="5"/>
      <c r="B485" s="5"/>
      <c r="J485"/>
      <c r="K485"/>
      <c r="L485"/>
      <c r="Q485"/>
      <c r="R485"/>
      <c r="S485"/>
      <c r="AK485"/>
      <c r="AL485"/>
      <c r="AM485"/>
      <c r="AN485"/>
    </row>
    <row r="486" spans="1:40" ht="13">
      <c r="A486" s="5"/>
      <c r="B486" s="5"/>
      <c r="J486"/>
      <c r="K486"/>
      <c r="L486"/>
      <c r="Q486"/>
      <c r="R486"/>
      <c r="S486"/>
      <c r="AK486"/>
      <c r="AL486"/>
      <c r="AM486"/>
      <c r="AN486"/>
    </row>
    <row r="487" spans="1:40" ht="13">
      <c r="A487" s="5"/>
      <c r="B487" s="5"/>
      <c r="J487"/>
      <c r="K487"/>
      <c r="L487"/>
      <c r="Q487"/>
      <c r="R487"/>
      <c r="S487"/>
      <c r="AK487"/>
      <c r="AL487"/>
      <c r="AM487"/>
      <c r="AN487"/>
    </row>
    <row r="488" spans="1:40" ht="13">
      <c r="A488" s="5"/>
      <c r="B488" s="5"/>
      <c r="J488"/>
      <c r="K488"/>
      <c r="L488"/>
      <c r="Q488"/>
      <c r="R488"/>
      <c r="S488"/>
      <c r="AK488"/>
      <c r="AL488"/>
      <c r="AM488"/>
      <c r="AN488"/>
    </row>
    <row r="489" spans="1:40" ht="13">
      <c r="A489" s="5"/>
      <c r="B489" s="5"/>
      <c r="J489"/>
      <c r="K489"/>
      <c r="L489"/>
      <c r="Q489"/>
      <c r="R489"/>
      <c r="S489"/>
      <c r="AK489"/>
      <c r="AL489"/>
      <c r="AM489"/>
      <c r="AN489"/>
    </row>
    <row r="490" spans="1:40" ht="13">
      <c r="A490" s="5"/>
      <c r="B490" s="5"/>
      <c r="J490"/>
      <c r="K490"/>
      <c r="L490"/>
      <c r="Q490"/>
      <c r="R490"/>
      <c r="S490"/>
      <c r="AK490"/>
      <c r="AL490"/>
      <c r="AM490"/>
      <c r="AN490"/>
    </row>
    <row r="491" spans="1:40" ht="13">
      <c r="A491" s="5"/>
      <c r="B491" s="5"/>
      <c r="J491"/>
      <c r="K491"/>
      <c r="L491"/>
      <c r="Q491"/>
      <c r="R491"/>
      <c r="S491"/>
      <c r="AK491"/>
      <c r="AL491"/>
      <c r="AM491"/>
      <c r="AN491"/>
    </row>
    <row r="492" spans="1:40" ht="13">
      <c r="A492" s="5"/>
      <c r="B492" s="5"/>
      <c r="J492"/>
      <c r="K492"/>
      <c r="L492"/>
      <c r="Q492"/>
      <c r="R492"/>
      <c r="S492"/>
      <c r="AK492"/>
      <c r="AL492"/>
      <c r="AM492"/>
      <c r="AN492"/>
    </row>
    <row r="493" spans="1:40" ht="13">
      <c r="A493" s="5"/>
      <c r="B493" s="5"/>
      <c r="J493"/>
      <c r="K493"/>
      <c r="L493"/>
      <c r="Q493"/>
      <c r="R493"/>
      <c r="S493"/>
      <c r="AK493"/>
      <c r="AL493"/>
      <c r="AM493"/>
      <c r="AN493"/>
    </row>
    <row r="494" spans="1:40" ht="13">
      <c r="A494" s="5"/>
      <c r="B494" s="5"/>
      <c r="J494"/>
      <c r="K494"/>
      <c r="L494"/>
      <c r="Q494"/>
      <c r="R494"/>
      <c r="S494"/>
      <c r="AK494"/>
      <c r="AL494"/>
      <c r="AM494"/>
      <c r="AN494"/>
    </row>
    <row r="495" spans="1:40" ht="13">
      <c r="A495" s="5"/>
      <c r="B495" s="5"/>
      <c r="J495"/>
      <c r="K495"/>
      <c r="L495"/>
      <c r="Q495"/>
      <c r="R495"/>
      <c r="S495"/>
      <c r="AK495"/>
      <c r="AL495"/>
      <c r="AM495"/>
      <c r="AN495"/>
    </row>
    <row r="496" spans="1:40" ht="13">
      <c r="A496" s="5"/>
      <c r="B496" s="5"/>
      <c r="J496"/>
      <c r="K496"/>
      <c r="L496"/>
      <c r="Q496"/>
      <c r="R496"/>
      <c r="S496"/>
      <c r="AK496"/>
      <c r="AL496"/>
      <c r="AM496"/>
      <c r="AN496"/>
    </row>
    <row r="497" spans="1:40" ht="13">
      <c r="A497" s="5"/>
      <c r="B497" s="5"/>
      <c r="J497"/>
      <c r="K497"/>
      <c r="L497"/>
      <c r="Q497"/>
      <c r="R497"/>
      <c r="S497"/>
      <c r="AK497"/>
      <c r="AL497"/>
      <c r="AM497"/>
      <c r="AN497"/>
    </row>
    <row r="498" spans="1:40" ht="13">
      <c r="A498" s="5"/>
      <c r="B498" s="5"/>
      <c r="J498"/>
      <c r="K498"/>
      <c r="L498"/>
      <c r="Q498"/>
      <c r="R498"/>
      <c r="S498"/>
      <c r="AK498"/>
      <c r="AL498"/>
      <c r="AM498"/>
      <c r="AN498"/>
    </row>
    <row r="499" spans="1:40" ht="13">
      <c r="A499" s="5"/>
      <c r="B499" s="5"/>
      <c r="J499"/>
      <c r="K499"/>
      <c r="L499"/>
      <c r="Q499"/>
      <c r="R499"/>
      <c r="S499"/>
      <c r="AK499"/>
      <c r="AL499"/>
      <c r="AM499"/>
      <c r="AN499"/>
    </row>
    <row r="500" spans="1:40" ht="13">
      <c r="A500" s="5"/>
      <c r="B500" s="5"/>
      <c r="J500"/>
      <c r="K500"/>
      <c r="L500"/>
      <c r="Q500"/>
      <c r="R500"/>
      <c r="S500"/>
      <c r="AK500"/>
      <c r="AL500"/>
      <c r="AM500"/>
      <c r="AN500"/>
    </row>
    <row r="501" spans="1:40" ht="13">
      <c r="A501" s="5"/>
      <c r="B501" s="5"/>
      <c r="J501"/>
      <c r="K501"/>
      <c r="L501"/>
      <c r="Q501"/>
      <c r="R501"/>
      <c r="S501"/>
      <c r="AK501"/>
      <c r="AL501"/>
      <c r="AM501"/>
      <c r="AN501"/>
    </row>
    <row r="502" spans="1:40" ht="13">
      <c r="A502" s="5"/>
      <c r="B502" s="5"/>
      <c r="J502"/>
      <c r="K502"/>
      <c r="L502"/>
      <c r="Q502"/>
      <c r="R502"/>
      <c r="S502"/>
      <c r="AK502"/>
      <c r="AL502"/>
      <c r="AM502"/>
      <c r="AN502"/>
    </row>
    <row r="503" spans="1:40" ht="13">
      <c r="A503" s="5"/>
      <c r="B503" s="5"/>
      <c r="J503"/>
      <c r="K503"/>
      <c r="L503"/>
      <c r="Q503"/>
      <c r="R503"/>
      <c r="S503"/>
      <c r="AK503"/>
      <c r="AL503"/>
      <c r="AM503"/>
      <c r="AN503"/>
    </row>
    <row r="504" spans="1:40" ht="13">
      <c r="A504" s="5"/>
      <c r="B504" s="5"/>
      <c r="J504"/>
      <c r="K504"/>
      <c r="L504"/>
      <c r="Q504"/>
      <c r="R504"/>
      <c r="S504"/>
      <c r="AK504"/>
      <c r="AL504"/>
      <c r="AM504"/>
      <c r="AN504"/>
    </row>
    <row r="505" spans="1:40" ht="13">
      <c r="A505" s="5"/>
      <c r="B505" s="5"/>
      <c r="J505"/>
      <c r="K505"/>
      <c r="L505"/>
      <c r="Q505"/>
      <c r="R505"/>
      <c r="S505"/>
      <c r="AK505"/>
      <c r="AL505"/>
      <c r="AM505"/>
      <c r="AN505"/>
    </row>
    <row r="506" spans="1:40" ht="13">
      <c r="A506" s="5"/>
      <c r="B506" s="5"/>
      <c r="J506"/>
      <c r="K506"/>
      <c r="L506"/>
      <c r="Q506"/>
      <c r="R506"/>
      <c r="S506"/>
      <c r="AK506"/>
      <c r="AL506"/>
      <c r="AM506"/>
      <c r="AN506"/>
    </row>
    <row r="507" spans="1:40" ht="13">
      <c r="A507" s="5"/>
      <c r="B507" s="5"/>
      <c r="J507"/>
      <c r="K507"/>
      <c r="L507"/>
      <c r="Q507"/>
      <c r="R507"/>
      <c r="S507"/>
      <c r="AK507"/>
      <c r="AL507"/>
      <c r="AM507"/>
      <c r="AN507"/>
    </row>
    <row r="508" spans="1:40" ht="13">
      <c r="A508" s="5"/>
      <c r="B508" s="5"/>
      <c r="J508"/>
      <c r="K508"/>
      <c r="L508"/>
      <c r="Q508"/>
      <c r="R508"/>
      <c r="S508"/>
      <c r="AK508"/>
      <c r="AL508"/>
      <c r="AM508"/>
      <c r="AN508"/>
    </row>
    <row r="509" spans="1:40" ht="13">
      <c r="A509" s="5"/>
      <c r="B509" s="5"/>
      <c r="J509"/>
      <c r="K509"/>
      <c r="L509"/>
      <c r="Q509"/>
      <c r="R509"/>
      <c r="S509"/>
      <c r="AK509"/>
      <c r="AL509"/>
      <c r="AM509"/>
      <c r="AN509"/>
    </row>
    <row r="510" spans="1:40" ht="13">
      <c r="A510" s="5"/>
      <c r="B510" s="5"/>
      <c r="J510"/>
      <c r="K510"/>
      <c r="L510"/>
      <c r="Q510"/>
      <c r="R510"/>
      <c r="S510"/>
      <c r="AK510"/>
      <c r="AL510"/>
      <c r="AM510"/>
      <c r="AN510"/>
    </row>
    <row r="511" spans="1:40" ht="13">
      <c r="A511" s="5"/>
      <c r="B511" s="5"/>
      <c r="J511"/>
      <c r="K511"/>
      <c r="L511"/>
      <c r="Q511"/>
      <c r="R511"/>
      <c r="S511"/>
      <c r="AK511"/>
      <c r="AL511"/>
      <c r="AM511"/>
      <c r="AN511"/>
    </row>
    <row r="512" spans="1:40" ht="13">
      <c r="A512" s="5"/>
      <c r="B512" s="5"/>
      <c r="J512"/>
      <c r="K512"/>
      <c r="L512"/>
      <c r="Q512"/>
      <c r="R512"/>
      <c r="S512"/>
      <c r="AK512"/>
      <c r="AL512"/>
      <c r="AM512"/>
      <c r="AN512"/>
    </row>
    <row r="513" spans="1:40" ht="13">
      <c r="A513" s="5"/>
      <c r="B513" s="5"/>
      <c r="J513"/>
      <c r="K513"/>
      <c r="L513"/>
      <c r="Q513"/>
      <c r="R513"/>
      <c r="S513"/>
      <c r="AK513"/>
      <c r="AL513"/>
      <c r="AM513"/>
      <c r="AN513"/>
    </row>
    <row r="514" spans="1:40" ht="13">
      <c r="A514" s="5"/>
      <c r="B514" s="5"/>
      <c r="J514"/>
      <c r="K514"/>
      <c r="L514"/>
      <c r="Q514"/>
      <c r="R514"/>
      <c r="S514"/>
      <c r="AK514"/>
      <c r="AL514"/>
      <c r="AM514"/>
      <c r="AN514"/>
    </row>
    <row r="515" spans="1:40" ht="13">
      <c r="A515" s="5"/>
      <c r="B515" s="5"/>
      <c r="J515"/>
      <c r="K515"/>
      <c r="L515"/>
      <c r="Q515"/>
      <c r="R515"/>
      <c r="S515"/>
      <c r="AK515"/>
      <c r="AL515"/>
      <c r="AM515"/>
      <c r="AN515"/>
    </row>
    <row r="516" spans="1:40" ht="13">
      <c r="A516" s="5"/>
      <c r="B516" s="5"/>
      <c r="J516"/>
      <c r="K516"/>
      <c r="L516"/>
      <c r="Q516"/>
      <c r="R516"/>
      <c r="S516"/>
      <c r="AK516"/>
      <c r="AL516"/>
      <c r="AM516"/>
      <c r="AN516"/>
    </row>
    <row r="517" spans="1:40" ht="13">
      <c r="A517" s="5"/>
      <c r="B517" s="5"/>
      <c r="J517"/>
      <c r="K517"/>
      <c r="L517"/>
      <c r="Q517"/>
      <c r="R517"/>
      <c r="S517"/>
      <c r="AK517"/>
      <c r="AL517"/>
      <c r="AM517"/>
      <c r="AN517"/>
    </row>
    <row r="518" spans="1:40" ht="13">
      <c r="A518" s="5"/>
      <c r="B518" s="5"/>
      <c r="J518"/>
      <c r="K518"/>
      <c r="L518"/>
      <c r="Q518"/>
      <c r="R518"/>
      <c r="S518"/>
      <c r="AK518"/>
      <c r="AL518"/>
      <c r="AM518"/>
      <c r="AN518"/>
    </row>
    <row r="519" spans="1:40" ht="13">
      <c r="A519" s="5"/>
      <c r="B519" s="5"/>
      <c r="J519"/>
      <c r="K519"/>
      <c r="L519"/>
      <c r="Q519"/>
      <c r="R519"/>
      <c r="S519"/>
      <c r="AK519"/>
      <c r="AL519"/>
      <c r="AM519"/>
      <c r="AN519"/>
    </row>
    <row r="520" spans="1:40" ht="13">
      <c r="A520" s="5"/>
      <c r="B520" s="5"/>
      <c r="J520"/>
      <c r="K520"/>
      <c r="L520"/>
      <c r="Q520"/>
      <c r="R520"/>
      <c r="S520"/>
      <c r="AK520"/>
      <c r="AL520"/>
      <c r="AM520"/>
      <c r="AN520"/>
    </row>
    <row r="521" spans="1:40" ht="13">
      <c r="A521" s="5"/>
      <c r="B521" s="5"/>
      <c r="J521"/>
      <c r="K521"/>
      <c r="L521"/>
      <c r="Q521"/>
      <c r="R521"/>
      <c r="S521"/>
      <c r="AK521"/>
      <c r="AL521"/>
      <c r="AM521"/>
      <c r="AN521"/>
    </row>
    <row r="522" spans="1:40" ht="13">
      <c r="A522" s="5"/>
      <c r="B522" s="5"/>
      <c r="J522"/>
      <c r="K522"/>
      <c r="L522"/>
      <c r="Q522"/>
      <c r="R522"/>
      <c r="S522"/>
      <c r="AK522"/>
      <c r="AL522"/>
      <c r="AM522"/>
      <c r="AN522"/>
    </row>
    <row r="523" spans="1:40" ht="13">
      <c r="A523" s="5"/>
      <c r="B523" s="5"/>
      <c r="J523"/>
      <c r="K523"/>
      <c r="L523"/>
      <c r="Q523"/>
      <c r="R523"/>
      <c r="S523"/>
      <c r="AK523"/>
      <c r="AL523"/>
      <c r="AM523"/>
      <c r="AN523"/>
    </row>
    <row r="524" spans="1:40" ht="13">
      <c r="A524" s="5"/>
      <c r="B524" s="5"/>
      <c r="J524"/>
      <c r="K524"/>
      <c r="L524"/>
      <c r="Q524"/>
      <c r="R524"/>
      <c r="S524"/>
      <c r="AK524"/>
      <c r="AL524"/>
      <c r="AM524"/>
      <c r="AN524"/>
    </row>
    <row r="525" spans="1:40" ht="13">
      <c r="A525" s="5"/>
      <c r="B525" s="5"/>
      <c r="J525"/>
      <c r="K525"/>
      <c r="L525"/>
      <c r="Q525"/>
      <c r="R525"/>
      <c r="S525"/>
      <c r="AK525"/>
      <c r="AL525"/>
      <c r="AM525"/>
      <c r="AN525"/>
    </row>
    <row r="526" spans="1:40" ht="13">
      <c r="A526" s="5"/>
      <c r="B526" s="5"/>
      <c r="J526"/>
      <c r="K526"/>
      <c r="L526"/>
      <c r="Q526"/>
      <c r="R526"/>
      <c r="S526"/>
      <c r="AK526"/>
      <c r="AL526"/>
      <c r="AM526"/>
      <c r="AN526"/>
    </row>
    <row r="527" spans="1:40" ht="13">
      <c r="A527" s="5"/>
      <c r="B527" s="5"/>
      <c r="J527"/>
      <c r="K527"/>
      <c r="L527"/>
      <c r="Q527"/>
      <c r="R527"/>
      <c r="S527"/>
      <c r="AK527"/>
      <c r="AL527"/>
      <c r="AM527"/>
      <c r="AN527"/>
    </row>
    <row r="528" spans="1:40" ht="13">
      <c r="A528" s="5"/>
      <c r="B528" s="5"/>
      <c r="J528"/>
      <c r="K528"/>
      <c r="L528"/>
      <c r="Q528"/>
      <c r="R528"/>
      <c r="S528"/>
      <c r="AK528"/>
      <c r="AL528"/>
      <c r="AM528"/>
      <c r="AN528"/>
    </row>
    <row r="529" spans="1:40" ht="13">
      <c r="A529" s="5"/>
      <c r="B529" s="5"/>
      <c r="J529"/>
      <c r="K529"/>
      <c r="L529"/>
      <c r="Q529"/>
      <c r="R529"/>
      <c r="S529"/>
      <c r="AK529"/>
      <c r="AL529"/>
      <c r="AM529"/>
      <c r="AN529"/>
    </row>
    <row r="530" spans="1:40" ht="13">
      <c r="A530" s="5"/>
      <c r="B530" s="5"/>
      <c r="J530"/>
      <c r="K530"/>
      <c r="L530"/>
      <c r="Q530"/>
      <c r="R530"/>
      <c r="S530"/>
      <c r="AK530"/>
      <c r="AL530"/>
      <c r="AM530"/>
      <c r="AN530"/>
    </row>
    <row r="531" spans="1:40" ht="13">
      <c r="A531" s="5"/>
      <c r="B531" s="5"/>
      <c r="J531"/>
      <c r="K531"/>
      <c r="L531"/>
      <c r="Q531"/>
      <c r="R531"/>
      <c r="S531"/>
      <c r="AK531"/>
      <c r="AL531"/>
      <c r="AM531"/>
      <c r="AN531"/>
    </row>
    <row r="532" spans="1:40" ht="13">
      <c r="A532" s="5"/>
      <c r="B532" s="5"/>
      <c r="J532"/>
      <c r="K532"/>
      <c r="L532"/>
      <c r="Q532"/>
      <c r="R532"/>
      <c r="S532"/>
      <c r="AK532"/>
      <c r="AL532"/>
      <c r="AM532"/>
      <c r="AN532"/>
    </row>
    <row r="533" spans="1:40" ht="13">
      <c r="A533" s="5"/>
      <c r="B533" s="5"/>
      <c r="J533"/>
      <c r="K533"/>
      <c r="L533"/>
      <c r="Q533"/>
      <c r="R533"/>
      <c r="S533"/>
      <c r="AK533"/>
      <c r="AL533"/>
      <c r="AM533"/>
      <c r="AN533"/>
    </row>
    <row r="534" spans="1:40" ht="13">
      <c r="A534" s="5"/>
      <c r="B534" s="5"/>
      <c r="J534"/>
      <c r="K534"/>
      <c r="L534"/>
      <c r="Q534"/>
      <c r="R534"/>
      <c r="S534"/>
      <c r="AK534"/>
      <c r="AL534"/>
      <c r="AM534"/>
      <c r="AN534"/>
    </row>
    <row r="535" spans="1:40" ht="13">
      <c r="A535" s="5"/>
      <c r="B535" s="5"/>
      <c r="J535"/>
      <c r="K535"/>
      <c r="L535"/>
      <c r="Q535"/>
      <c r="R535"/>
      <c r="S535"/>
      <c r="AK535"/>
      <c r="AL535"/>
      <c r="AM535"/>
      <c r="AN535"/>
    </row>
    <row r="536" spans="1:40" ht="13">
      <c r="A536" s="5"/>
      <c r="B536" s="5"/>
      <c r="J536"/>
      <c r="K536"/>
      <c r="L536"/>
      <c r="Q536"/>
      <c r="R536"/>
      <c r="S536"/>
      <c r="AK536"/>
      <c r="AL536"/>
      <c r="AM536"/>
      <c r="AN536"/>
    </row>
    <row r="537" spans="1:40" ht="13">
      <c r="A537" s="5"/>
      <c r="B537" s="5"/>
      <c r="J537"/>
      <c r="K537"/>
      <c r="L537"/>
      <c r="Q537"/>
      <c r="R537"/>
      <c r="S537"/>
      <c r="AK537"/>
      <c r="AL537"/>
      <c r="AM537"/>
      <c r="AN537"/>
    </row>
    <row r="538" spans="1:40" ht="13">
      <c r="A538" s="5"/>
      <c r="B538" s="5"/>
      <c r="J538"/>
      <c r="K538"/>
      <c r="L538"/>
      <c r="Q538"/>
      <c r="R538"/>
      <c r="S538"/>
      <c r="AK538"/>
      <c r="AL538"/>
      <c r="AM538"/>
      <c r="AN538"/>
    </row>
    <row r="539" spans="1:40" ht="13">
      <c r="A539" s="5"/>
      <c r="B539" s="5"/>
      <c r="J539"/>
      <c r="K539"/>
      <c r="L539"/>
      <c r="Q539"/>
      <c r="R539"/>
      <c r="S539"/>
      <c r="AK539"/>
      <c r="AL539"/>
      <c r="AM539"/>
      <c r="AN539"/>
    </row>
    <row r="540" spans="1:40" ht="13">
      <c r="A540" s="5"/>
      <c r="B540" s="5"/>
      <c r="J540"/>
      <c r="K540"/>
      <c r="L540"/>
      <c r="Q540"/>
      <c r="R540"/>
      <c r="S540"/>
      <c r="AK540"/>
      <c r="AL540"/>
      <c r="AM540"/>
      <c r="AN540"/>
    </row>
    <row r="541" spans="1:40" ht="13">
      <c r="A541" s="5"/>
      <c r="B541" s="5"/>
      <c r="J541"/>
      <c r="K541"/>
      <c r="L541"/>
      <c r="Q541"/>
      <c r="R541"/>
      <c r="S541"/>
      <c r="AK541"/>
      <c r="AL541"/>
      <c r="AM541"/>
      <c r="AN541"/>
    </row>
    <row r="542" spans="1:40" ht="13">
      <c r="A542" s="5"/>
      <c r="B542" s="5"/>
      <c r="J542"/>
      <c r="K542"/>
      <c r="L542"/>
      <c r="Q542"/>
      <c r="R542"/>
      <c r="S542"/>
      <c r="AK542"/>
      <c r="AL542"/>
      <c r="AM542"/>
      <c r="AN542"/>
    </row>
    <row r="543" spans="1:40" ht="13">
      <c r="A543" s="5"/>
      <c r="B543" s="5"/>
      <c r="J543"/>
      <c r="K543"/>
      <c r="L543"/>
      <c r="Q543"/>
      <c r="R543"/>
      <c r="S543"/>
      <c r="AK543"/>
      <c r="AL543"/>
      <c r="AM543"/>
      <c r="AN543"/>
    </row>
    <row r="544" spans="1:40" ht="13">
      <c r="A544" s="5"/>
      <c r="B544" s="5"/>
      <c r="J544"/>
      <c r="K544"/>
      <c r="L544"/>
      <c r="Q544"/>
      <c r="R544"/>
      <c r="S544"/>
      <c r="AK544"/>
      <c r="AL544"/>
      <c r="AM544"/>
      <c r="AN544"/>
    </row>
    <row r="545" spans="1:40" ht="13">
      <c r="A545" s="5"/>
      <c r="B545" s="5"/>
      <c r="J545"/>
      <c r="K545"/>
      <c r="L545"/>
      <c r="Q545"/>
      <c r="R545"/>
      <c r="S545"/>
      <c r="AK545"/>
      <c r="AL545"/>
      <c r="AM545"/>
      <c r="AN545"/>
    </row>
    <row r="546" spans="1:40" ht="13">
      <c r="A546" s="5"/>
      <c r="B546" s="5"/>
      <c r="J546"/>
      <c r="K546"/>
      <c r="L546"/>
      <c r="Q546"/>
      <c r="R546"/>
      <c r="S546"/>
      <c r="AK546"/>
      <c r="AL546"/>
      <c r="AM546"/>
      <c r="AN546"/>
    </row>
    <row r="547" spans="1:40" ht="13">
      <c r="A547" s="5"/>
      <c r="B547" s="5"/>
      <c r="J547"/>
      <c r="K547"/>
      <c r="L547"/>
      <c r="Q547"/>
      <c r="R547"/>
      <c r="S547"/>
      <c r="AK547"/>
      <c r="AL547"/>
      <c r="AM547"/>
      <c r="AN547"/>
    </row>
    <row r="548" spans="1:40" ht="13">
      <c r="A548" s="5"/>
      <c r="B548" s="5"/>
      <c r="J548"/>
      <c r="K548"/>
      <c r="L548"/>
      <c r="Q548"/>
      <c r="R548"/>
      <c r="S548"/>
      <c r="AK548"/>
      <c r="AL548"/>
      <c r="AM548"/>
      <c r="AN548"/>
    </row>
    <row r="549" spans="1:40" ht="13">
      <c r="A549" s="5"/>
      <c r="B549" s="5"/>
      <c r="J549"/>
      <c r="K549"/>
      <c r="L549"/>
      <c r="Q549"/>
      <c r="R549"/>
      <c r="S549"/>
      <c r="AK549"/>
      <c r="AL549"/>
      <c r="AM549"/>
      <c r="AN549"/>
    </row>
    <row r="550" spans="1:40" ht="13">
      <c r="A550" s="5"/>
      <c r="B550" s="5"/>
      <c r="J550"/>
      <c r="K550"/>
      <c r="L550"/>
      <c r="Q550"/>
      <c r="R550"/>
      <c r="S550"/>
      <c r="AK550"/>
      <c r="AL550"/>
      <c r="AM550"/>
      <c r="AN550"/>
    </row>
    <row r="551" spans="1:40" ht="13">
      <c r="A551" s="5"/>
      <c r="B551" s="5"/>
      <c r="J551"/>
      <c r="K551"/>
      <c r="L551"/>
      <c r="Q551"/>
      <c r="R551"/>
      <c r="S551"/>
      <c r="AK551"/>
      <c r="AL551"/>
      <c r="AM551"/>
      <c r="AN551"/>
    </row>
    <row r="552" spans="1:40" ht="13">
      <c r="A552" s="5"/>
      <c r="B552" s="5"/>
      <c r="J552"/>
      <c r="K552"/>
      <c r="L552"/>
      <c r="Q552"/>
      <c r="R552"/>
      <c r="S552"/>
      <c r="AK552"/>
      <c r="AL552"/>
      <c r="AM552"/>
      <c r="AN552"/>
    </row>
    <row r="553" spans="1:40" ht="13">
      <c r="A553" s="5"/>
      <c r="B553" s="5"/>
      <c r="J553"/>
      <c r="K553"/>
      <c r="L553"/>
      <c r="Q553"/>
      <c r="R553"/>
      <c r="S553"/>
      <c r="AK553"/>
      <c r="AL553"/>
      <c r="AM553"/>
      <c r="AN553"/>
    </row>
    <row r="554" spans="1:40" ht="13">
      <c r="A554" s="5"/>
      <c r="B554" s="5"/>
      <c r="J554"/>
      <c r="K554"/>
      <c r="L554"/>
      <c r="Q554"/>
      <c r="R554"/>
      <c r="S554"/>
      <c r="AK554"/>
      <c r="AL554"/>
      <c r="AM554"/>
      <c r="AN554"/>
    </row>
    <row r="555" spans="1:40" ht="13">
      <c r="A555" s="5"/>
      <c r="B555" s="5"/>
      <c r="J555"/>
      <c r="K555"/>
      <c r="L555"/>
      <c r="Q555"/>
      <c r="R555"/>
      <c r="S555"/>
      <c r="AK555"/>
      <c r="AL555"/>
      <c r="AM555"/>
      <c r="AN555"/>
    </row>
    <row r="556" spans="1:40" ht="13">
      <c r="A556" s="5"/>
      <c r="B556" s="5"/>
      <c r="J556"/>
      <c r="K556"/>
      <c r="L556"/>
      <c r="Q556"/>
      <c r="R556"/>
      <c r="S556"/>
      <c r="AK556"/>
      <c r="AL556"/>
      <c r="AM556"/>
      <c r="AN556"/>
    </row>
    <row r="557" spans="1:40" ht="13">
      <c r="A557" s="5"/>
      <c r="B557" s="5"/>
      <c r="J557"/>
      <c r="K557"/>
      <c r="L557"/>
      <c r="Q557"/>
      <c r="R557"/>
      <c r="S557"/>
      <c r="AK557"/>
      <c r="AL557"/>
      <c r="AM557"/>
      <c r="AN557"/>
    </row>
    <row r="558" spans="1:40" ht="13">
      <c r="A558" s="5"/>
      <c r="B558" s="5"/>
      <c r="J558"/>
      <c r="K558"/>
      <c r="L558"/>
      <c r="Q558"/>
      <c r="R558"/>
      <c r="S558"/>
      <c r="AK558"/>
      <c r="AL558"/>
      <c r="AM558"/>
      <c r="AN558"/>
    </row>
    <row r="559" spans="1:40" ht="13">
      <c r="A559" s="5"/>
      <c r="B559" s="5"/>
      <c r="J559"/>
      <c r="K559"/>
      <c r="L559"/>
      <c r="Q559"/>
      <c r="R559"/>
      <c r="S559"/>
      <c r="AK559"/>
      <c r="AL559"/>
      <c r="AM559"/>
      <c r="AN559"/>
    </row>
    <row r="560" spans="1:40" ht="13">
      <c r="A560" s="5"/>
      <c r="B560" s="5"/>
      <c r="J560"/>
      <c r="K560"/>
      <c r="L560"/>
      <c r="Q560"/>
      <c r="R560"/>
      <c r="S560"/>
      <c r="AK560"/>
      <c r="AL560"/>
      <c r="AM560"/>
      <c r="AN560"/>
    </row>
    <row r="561" spans="1:40" ht="13">
      <c r="A561" s="5"/>
      <c r="B561" s="5"/>
      <c r="J561"/>
      <c r="K561"/>
      <c r="L561"/>
      <c r="Q561"/>
      <c r="R561"/>
      <c r="S561"/>
      <c r="AK561"/>
      <c r="AL561"/>
      <c r="AM561"/>
      <c r="AN561"/>
    </row>
    <row r="562" spans="1:40" ht="13">
      <c r="A562" s="5"/>
      <c r="B562" s="5"/>
      <c r="J562"/>
      <c r="K562"/>
      <c r="L562"/>
      <c r="Q562"/>
      <c r="R562"/>
      <c r="S562"/>
      <c r="AK562"/>
      <c r="AL562"/>
      <c r="AM562"/>
      <c r="AN562"/>
    </row>
    <row r="563" spans="1:40" ht="13">
      <c r="A563" s="5"/>
      <c r="B563" s="5"/>
      <c r="J563"/>
      <c r="K563"/>
      <c r="L563"/>
      <c r="Q563"/>
      <c r="R563"/>
      <c r="S563"/>
      <c r="AK563"/>
      <c r="AL563"/>
      <c r="AM563"/>
      <c r="AN563"/>
    </row>
    <row r="564" spans="1:40" ht="13">
      <c r="A564" s="5"/>
      <c r="B564" s="5"/>
      <c r="J564"/>
      <c r="K564"/>
      <c r="L564"/>
      <c r="Q564"/>
      <c r="R564"/>
      <c r="S564"/>
      <c r="AK564"/>
      <c r="AL564"/>
      <c r="AM564"/>
      <c r="AN564"/>
    </row>
    <row r="565" spans="1:40" ht="13">
      <c r="A565" s="5"/>
      <c r="B565" s="5"/>
      <c r="J565"/>
      <c r="K565"/>
      <c r="L565"/>
      <c r="Q565"/>
      <c r="R565"/>
      <c r="S565"/>
      <c r="AK565"/>
      <c r="AL565"/>
      <c r="AM565"/>
      <c r="AN565"/>
    </row>
    <row r="566" spans="1:40" ht="13">
      <c r="A566" s="5"/>
      <c r="B566" s="5"/>
      <c r="J566"/>
      <c r="K566"/>
      <c r="L566"/>
      <c r="Q566"/>
      <c r="R566"/>
      <c r="S566"/>
      <c r="AK566"/>
      <c r="AL566"/>
      <c r="AM566"/>
      <c r="AN566"/>
    </row>
    <row r="567" spans="1:40" ht="13">
      <c r="A567" s="5"/>
      <c r="B567" s="5"/>
      <c r="J567"/>
      <c r="K567"/>
      <c r="L567"/>
      <c r="Q567"/>
      <c r="R567"/>
      <c r="S567"/>
      <c r="AK567"/>
      <c r="AL567"/>
      <c r="AM567"/>
      <c r="AN567"/>
    </row>
    <row r="568" spans="1:40" ht="13">
      <c r="A568" s="5"/>
      <c r="B568" s="5"/>
      <c r="J568"/>
      <c r="K568"/>
      <c r="L568"/>
      <c r="Q568"/>
      <c r="R568"/>
      <c r="S568"/>
      <c r="AK568"/>
      <c r="AL568"/>
      <c r="AM568"/>
      <c r="AN568"/>
    </row>
    <row r="569" spans="1:40" ht="13">
      <c r="A569" s="5"/>
      <c r="B569" s="5"/>
      <c r="J569"/>
      <c r="K569"/>
      <c r="L569"/>
      <c r="Q569"/>
      <c r="R569"/>
      <c r="S569"/>
      <c r="AK569"/>
      <c r="AL569"/>
      <c r="AM569"/>
      <c r="AN569"/>
    </row>
    <row r="570" spans="1:40" ht="13">
      <c r="A570" s="5"/>
      <c r="B570" s="5"/>
      <c r="J570"/>
      <c r="K570"/>
      <c r="L570"/>
      <c r="Q570"/>
      <c r="R570"/>
      <c r="S570"/>
      <c r="AK570"/>
      <c r="AL570"/>
      <c r="AM570"/>
      <c r="AN570"/>
    </row>
    <row r="571" spans="1:40" ht="13">
      <c r="A571" s="5"/>
      <c r="B571" s="5"/>
      <c r="J571"/>
      <c r="K571"/>
      <c r="L571"/>
      <c r="Q571"/>
      <c r="R571"/>
      <c r="S571"/>
      <c r="AK571"/>
      <c r="AL571"/>
      <c r="AM571"/>
      <c r="AN571"/>
    </row>
    <row r="572" spans="1:40" ht="13">
      <c r="A572" s="5"/>
      <c r="B572" s="5"/>
      <c r="J572"/>
      <c r="K572"/>
      <c r="L572"/>
      <c r="Q572"/>
      <c r="R572"/>
      <c r="S572"/>
      <c r="AK572"/>
      <c r="AL572"/>
      <c r="AM572"/>
      <c r="AN572"/>
    </row>
    <row r="573" spans="1:40" ht="13">
      <c r="A573" s="5"/>
      <c r="B573" s="5"/>
      <c r="J573"/>
      <c r="K573"/>
      <c r="L573"/>
      <c r="Q573"/>
      <c r="R573"/>
      <c r="S573"/>
      <c r="AK573"/>
      <c r="AL573"/>
      <c r="AM573"/>
      <c r="AN573"/>
    </row>
    <row r="574" spans="1:40" ht="13">
      <c r="A574" s="5"/>
      <c r="B574" s="5"/>
      <c r="J574"/>
      <c r="K574"/>
      <c r="L574"/>
      <c r="Q574"/>
      <c r="R574"/>
      <c r="S574"/>
      <c r="AK574"/>
      <c r="AL574"/>
      <c r="AM574"/>
      <c r="AN574"/>
    </row>
    <row r="575" spans="1:40" ht="13">
      <c r="A575" s="5"/>
      <c r="B575" s="5"/>
      <c r="J575"/>
      <c r="K575"/>
      <c r="L575"/>
      <c r="Q575"/>
      <c r="R575"/>
      <c r="S575"/>
      <c r="AK575"/>
      <c r="AL575"/>
      <c r="AM575"/>
      <c r="AN575"/>
    </row>
    <row r="576" spans="1:40" ht="13">
      <c r="A576" s="5"/>
      <c r="B576" s="5"/>
      <c r="J576"/>
      <c r="K576"/>
      <c r="L576"/>
      <c r="Q576"/>
      <c r="R576"/>
      <c r="S576"/>
      <c r="AK576"/>
      <c r="AL576"/>
      <c r="AM576"/>
      <c r="AN576"/>
    </row>
    <row r="577" spans="1:40" ht="13">
      <c r="A577" s="5"/>
      <c r="B577" s="5"/>
      <c r="J577"/>
      <c r="K577"/>
      <c r="L577"/>
      <c r="Q577"/>
      <c r="R577"/>
      <c r="S577"/>
      <c r="AK577"/>
      <c r="AL577"/>
      <c r="AM577"/>
      <c r="AN577"/>
    </row>
    <row r="578" spans="1:40" ht="13">
      <c r="A578" s="5"/>
      <c r="B578" s="5"/>
      <c r="J578"/>
      <c r="K578"/>
      <c r="L578"/>
      <c r="Q578"/>
      <c r="R578"/>
      <c r="S578"/>
      <c r="AK578"/>
      <c r="AL578"/>
      <c r="AM578"/>
      <c r="AN578"/>
    </row>
    <row r="579" spans="1:40" ht="13">
      <c r="A579" s="5"/>
      <c r="B579" s="5"/>
      <c r="J579"/>
      <c r="K579"/>
      <c r="L579"/>
      <c r="Q579"/>
      <c r="R579"/>
      <c r="S579"/>
      <c r="AK579"/>
      <c r="AL579"/>
      <c r="AM579"/>
      <c r="AN579"/>
    </row>
    <row r="580" spans="1:40" ht="13">
      <c r="A580" s="5"/>
      <c r="B580" s="5"/>
      <c r="J580"/>
      <c r="K580"/>
      <c r="L580"/>
      <c r="Q580"/>
      <c r="R580"/>
      <c r="S580"/>
      <c r="AK580"/>
      <c r="AL580"/>
      <c r="AM580"/>
      <c r="AN580"/>
    </row>
    <row r="581" spans="1:40" ht="13">
      <c r="A581" s="5"/>
      <c r="B581" s="5"/>
      <c r="J581"/>
      <c r="K581"/>
      <c r="L581"/>
      <c r="Q581"/>
      <c r="R581"/>
      <c r="S581"/>
      <c r="AK581"/>
      <c r="AL581"/>
      <c r="AM581"/>
      <c r="AN581"/>
    </row>
    <row r="582" spans="1:40" ht="13">
      <c r="A582" s="5"/>
      <c r="B582" s="5"/>
      <c r="J582"/>
      <c r="K582"/>
      <c r="L582"/>
      <c r="Q582"/>
      <c r="R582"/>
      <c r="S582"/>
      <c r="AK582"/>
      <c r="AL582"/>
      <c r="AM582"/>
      <c r="AN582"/>
    </row>
    <row r="583" spans="1:40" ht="13">
      <c r="A583" s="5"/>
      <c r="B583" s="5"/>
      <c r="J583"/>
      <c r="K583"/>
      <c r="L583"/>
      <c r="Q583"/>
      <c r="R583"/>
      <c r="S583"/>
      <c r="AK583"/>
      <c r="AL583"/>
      <c r="AM583"/>
      <c r="AN583"/>
    </row>
    <row r="584" spans="1:40" ht="13">
      <c r="A584" s="5"/>
      <c r="B584" s="5"/>
      <c r="J584"/>
      <c r="K584"/>
      <c r="L584"/>
      <c r="Q584"/>
      <c r="R584"/>
      <c r="S584"/>
      <c r="AK584"/>
      <c r="AL584"/>
      <c r="AM584"/>
      <c r="AN584"/>
    </row>
    <row r="585" spans="1:40" ht="13">
      <c r="A585" s="5"/>
      <c r="B585" s="5"/>
      <c r="J585"/>
      <c r="K585"/>
      <c r="L585"/>
      <c r="Q585"/>
      <c r="R585"/>
      <c r="S585"/>
      <c r="AK585"/>
      <c r="AL585"/>
      <c r="AM585"/>
      <c r="AN585"/>
    </row>
    <row r="586" spans="1:40" ht="13">
      <c r="A586" s="5"/>
      <c r="B586" s="5"/>
      <c r="J586"/>
      <c r="K586"/>
      <c r="L586"/>
      <c r="Q586"/>
      <c r="R586"/>
      <c r="S586"/>
      <c r="AK586"/>
      <c r="AL586"/>
      <c r="AM586"/>
      <c r="AN586"/>
    </row>
    <row r="587" spans="1:40" ht="13">
      <c r="A587" s="5"/>
      <c r="B587" s="5"/>
      <c r="J587"/>
      <c r="K587"/>
      <c r="L587"/>
      <c r="Q587"/>
      <c r="R587"/>
      <c r="S587"/>
      <c r="AK587"/>
      <c r="AL587"/>
      <c r="AM587"/>
      <c r="AN587"/>
    </row>
    <row r="588" spans="1:40" ht="13">
      <c r="A588" s="5"/>
      <c r="B588" s="5"/>
      <c r="J588"/>
      <c r="K588"/>
      <c r="L588"/>
      <c r="Q588"/>
      <c r="R588"/>
      <c r="S588"/>
      <c r="AK588"/>
      <c r="AL588"/>
      <c r="AM588"/>
      <c r="AN588"/>
    </row>
    <row r="589" spans="1:40" ht="13">
      <c r="A589" s="5"/>
      <c r="B589" s="5"/>
      <c r="J589"/>
      <c r="K589"/>
      <c r="L589"/>
      <c r="Q589"/>
      <c r="R589"/>
      <c r="S589"/>
      <c r="AK589"/>
      <c r="AL589"/>
      <c r="AM589"/>
      <c r="AN589"/>
    </row>
    <row r="590" spans="1:40" ht="13">
      <c r="A590" s="5"/>
      <c r="B590" s="5"/>
      <c r="J590"/>
      <c r="K590"/>
      <c r="L590"/>
      <c r="Q590"/>
      <c r="R590"/>
      <c r="S590"/>
      <c r="AK590"/>
      <c r="AL590"/>
      <c r="AM590"/>
      <c r="AN590"/>
    </row>
    <row r="591" spans="1:40" ht="13">
      <c r="A591" s="5"/>
      <c r="B591" s="5"/>
      <c r="J591"/>
      <c r="K591"/>
      <c r="L591"/>
      <c r="Q591"/>
      <c r="R591"/>
      <c r="S591"/>
      <c r="AK591"/>
      <c r="AL591"/>
      <c r="AM591"/>
      <c r="AN591"/>
    </row>
    <row r="592" spans="1:40" ht="13">
      <c r="A592" s="5"/>
      <c r="B592" s="5"/>
      <c r="J592"/>
      <c r="K592"/>
      <c r="L592"/>
      <c r="Q592"/>
      <c r="R592"/>
      <c r="S592"/>
      <c r="AK592"/>
      <c r="AL592"/>
      <c r="AM592"/>
      <c r="AN592"/>
    </row>
    <row r="593" spans="1:40" ht="13">
      <c r="A593" s="5"/>
      <c r="B593" s="5"/>
      <c r="J593"/>
      <c r="K593"/>
      <c r="L593"/>
      <c r="Q593"/>
      <c r="R593"/>
      <c r="S593"/>
      <c r="AK593"/>
      <c r="AL593"/>
      <c r="AM593"/>
      <c r="AN593"/>
    </row>
    <row r="594" spans="1:40" ht="13">
      <c r="A594" s="5"/>
      <c r="B594" s="5"/>
      <c r="J594"/>
      <c r="K594"/>
      <c r="L594"/>
      <c r="Q594"/>
      <c r="R594"/>
      <c r="S594"/>
      <c r="AK594"/>
      <c r="AL594"/>
      <c r="AM594"/>
      <c r="AN594"/>
    </row>
    <row r="595" spans="1:40" ht="13">
      <c r="A595" s="5"/>
      <c r="B595" s="5"/>
      <c r="J595"/>
      <c r="K595"/>
      <c r="L595"/>
      <c r="Q595"/>
      <c r="R595"/>
      <c r="S595"/>
      <c r="AK595"/>
      <c r="AL595"/>
      <c r="AM595"/>
      <c r="AN595"/>
    </row>
    <row r="596" spans="1:40" ht="13">
      <c r="A596" s="5"/>
      <c r="B596" s="5"/>
      <c r="J596"/>
      <c r="K596"/>
      <c r="L596"/>
      <c r="Q596"/>
      <c r="R596"/>
      <c r="S596"/>
      <c r="AK596"/>
      <c r="AL596"/>
      <c r="AM596"/>
      <c r="AN596"/>
    </row>
    <row r="597" spans="1:40" ht="13">
      <c r="A597" s="5"/>
      <c r="B597" s="5"/>
      <c r="J597"/>
      <c r="K597"/>
      <c r="L597"/>
      <c r="Q597"/>
      <c r="R597"/>
      <c r="S597"/>
      <c r="AK597"/>
      <c r="AL597"/>
      <c r="AM597"/>
      <c r="AN597"/>
    </row>
    <row r="598" spans="1:40" ht="13">
      <c r="A598" s="5"/>
      <c r="B598" s="5"/>
      <c r="J598"/>
      <c r="K598"/>
      <c r="L598"/>
      <c r="Q598"/>
      <c r="R598"/>
      <c r="S598"/>
      <c r="AK598"/>
      <c r="AL598"/>
      <c r="AM598"/>
      <c r="AN598"/>
    </row>
    <row r="599" spans="1:40" ht="13">
      <c r="A599" s="5"/>
      <c r="B599" s="5"/>
      <c r="J599"/>
      <c r="K599"/>
      <c r="L599"/>
      <c r="Q599"/>
      <c r="R599"/>
      <c r="S599"/>
      <c r="AK599"/>
      <c r="AL599"/>
      <c r="AM599"/>
      <c r="AN599"/>
    </row>
    <row r="600" spans="1:40" ht="13">
      <c r="A600" s="5"/>
      <c r="B600" s="5"/>
      <c r="J600"/>
      <c r="K600"/>
      <c r="L600"/>
      <c r="Q600"/>
      <c r="R600"/>
      <c r="S600"/>
      <c r="AK600"/>
      <c r="AL600"/>
      <c r="AM600"/>
      <c r="AN600"/>
    </row>
    <row r="601" spans="1:40" ht="13">
      <c r="A601" s="5"/>
      <c r="B601" s="5"/>
      <c r="J601"/>
      <c r="K601"/>
      <c r="L601"/>
      <c r="Q601"/>
      <c r="R601"/>
      <c r="S601"/>
      <c r="AK601"/>
      <c r="AL601"/>
      <c r="AM601"/>
      <c r="AN601"/>
    </row>
    <row r="602" spans="1:40" ht="13">
      <c r="A602" s="5"/>
      <c r="B602" s="5"/>
      <c r="J602"/>
      <c r="K602"/>
      <c r="L602"/>
      <c r="Q602"/>
      <c r="R602"/>
      <c r="S602"/>
      <c r="AK602"/>
      <c r="AL602"/>
      <c r="AM602"/>
      <c r="AN602"/>
    </row>
    <row r="603" spans="1:40" ht="13">
      <c r="A603" s="5"/>
      <c r="B603" s="5"/>
      <c r="J603"/>
      <c r="K603"/>
      <c r="L603"/>
      <c r="Q603"/>
      <c r="R603"/>
      <c r="S603"/>
      <c r="AK603"/>
      <c r="AL603"/>
      <c r="AM603"/>
      <c r="AN603"/>
    </row>
    <row r="604" spans="1:40" ht="13">
      <c r="A604" s="5"/>
      <c r="B604" s="5"/>
      <c r="J604"/>
      <c r="K604"/>
      <c r="L604"/>
      <c r="Q604"/>
      <c r="R604"/>
      <c r="S604"/>
      <c r="AK604"/>
      <c r="AL604"/>
      <c r="AM604"/>
      <c r="AN604"/>
    </row>
    <row r="605" spans="1:40" ht="13">
      <c r="A605" s="5"/>
      <c r="B605" s="5"/>
      <c r="J605"/>
      <c r="K605"/>
      <c r="L605"/>
      <c r="Q605"/>
      <c r="R605"/>
      <c r="S605"/>
      <c r="AK605"/>
      <c r="AL605"/>
      <c r="AM605"/>
      <c r="AN605"/>
    </row>
    <row r="606" spans="1:40" ht="13">
      <c r="A606" s="5"/>
      <c r="B606" s="5"/>
      <c r="J606"/>
      <c r="K606"/>
      <c r="L606"/>
      <c r="Q606"/>
      <c r="R606"/>
      <c r="S606"/>
      <c r="AK606"/>
      <c r="AL606"/>
      <c r="AM606"/>
      <c r="AN606"/>
    </row>
    <row r="607" spans="1:40" ht="13">
      <c r="A607" s="5"/>
      <c r="B607" s="5"/>
      <c r="J607"/>
      <c r="K607"/>
      <c r="L607"/>
      <c r="Q607"/>
      <c r="R607"/>
      <c r="S607"/>
      <c r="AK607"/>
      <c r="AL607"/>
      <c r="AM607"/>
      <c r="AN607"/>
    </row>
    <row r="608" spans="1:40" ht="13">
      <c r="A608" s="5"/>
      <c r="B608" s="5"/>
      <c r="J608"/>
      <c r="K608"/>
      <c r="L608"/>
      <c r="Q608"/>
      <c r="R608"/>
      <c r="S608"/>
      <c r="AK608"/>
      <c r="AL608"/>
      <c r="AM608"/>
      <c r="AN608"/>
    </row>
    <row r="609" spans="1:40" ht="13">
      <c r="A609" s="5"/>
      <c r="B609" s="5"/>
      <c r="J609"/>
      <c r="K609"/>
      <c r="L609"/>
      <c r="Q609"/>
      <c r="R609"/>
      <c r="S609"/>
      <c r="AK609"/>
      <c r="AL609"/>
      <c r="AM609"/>
      <c r="AN609"/>
    </row>
    <row r="610" spans="1:40" ht="13">
      <c r="A610" s="5"/>
      <c r="B610" s="5"/>
      <c r="J610"/>
      <c r="K610"/>
      <c r="L610"/>
      <c r="Q610"/>
      <c r="R610"/>
      <c r="S610"/>
      <c r="AK610"/>
      <c r="AL610"/>
      <c r="AM610"/>
      <c r="AN610"/>
    </row>
    <row r="611" spans="1:40" ht="13">
      <c r="A611" s="5"/>
      <c r="B611" s="5"/>
      <c r="J611"/>
      <c r="K611"/>
      <c r="L611"/>
      <c r="Q611"/>
      <c r="R611"/>
      <c r="S611"/>
      <c r="AK611"/>
      <c r="AL611"/>
      <c r="AM611"/>
      <c r="AN611"/>
    </row>
    <row r="612" spans="1:40" ht="13">
      <c r="A612" s="5"/>
      <c r="B612" s="5"/>
      <c r="J612"/>
      <c r="K612"/>
      <c r="L612"/>
      <c r="Q612"/>
      <c r="R612"/>
      <c r="S612"/>
      <c r="AK612"/>
      <c r="AL612"/>
      <c r="AM612"/>
      <c r="AN612"/>
    </row>
    <row r="613" spans="1:40" ht="13">
      <c r="A613" s="5"/>
      <c r="B613" s="5"/>
      <c r="J613"/>
      <c r="K613"/>
      <c r="L613"/>
      <c r="Q613"/>
      <c r="R613"/>
      <c r="S613"/>
      <c r="AK613"/>
      <c r="AL613"/>
      <c r="AM613"/>
      <c r="AN613"/>
    </row>
    <row r="614" spans="1:40" ht="13">
      <c r="A614" s="5"/>
      <c r="B614" s="5"/>
      <c r="J614"/>
      <c r="K614"/>
      <c r="L614"/>
      <c r="Q614"/>
      <c r="R614"/>
      <c r="S614"/>
      <c r="AK614"/>
      <c r="AL614"/>
      <c r="AM614"/>
      <c r="AN614"/>
    </row>
    <row r="615" spans="1:40" ht="13">
      <c r="A615" s="5"/>
      <c r="B615" s="5"/>
      <c r="J615"/>
      <c r="K615"/>
      <c r="L615"/>
      <c r="Q615"/>
      <c r="R615"/>
      <c r="S615"/>
      <c r="AK615"/>
      <c r="AL615"/>
      <c r="AM615"/>
      <c r="AN615"/>
    </row>
    <row r="616" spans="1:40" ht="13">
      <c r="A616" s="5"/>
      <c r="B616" s="5"/>
      <c r="J616"/>
      <c r="K616"/>
      <c r="L616"/>
      <c r="Q616"/>
      <c r="R616"/>
      <c r="S616"/>
      <c r="AK616"/>
      <c r="AL616"/>
      <c r="AM616"/>
      <c r="AN616"/>
    </row>
    <row r="617" spans="1:40" ht="13">
      <c r="A617" s="5"/>
      <c r="B617" s="5"/>
      <c r="J617"/>
      <c r="K617"/>
      <c r="L617"/>
      <c r="Q617"/>
      <c r="R617"/>
      <c r="S617"/>
      <c r="AK617"/>
      <c r="AL617"/>
      <c r="AM617"/>
      <c r="AN617"/>
    </row>
    <row r="618" spans="1:40" ht="13">
      <c r="A618" s="5"/>
      <c r="B618" s="5"/>
      <c r="J618"/>
      <c r="K618"/>
      <c r="L618"/>
      <c r="Q618"/>
      <c r="R618"/>
      <c r="S618"/>
      <c r="AK618"/>
      <c r="AL618"/>
      <c r="AM618"/>
      <c r="AN618"/>
    </row>
    <row r="619" spans="1:40" ht="13">
      <c r="A619" s="5"/>
      <c r="B619" s="5"/>
      <c r="J619"/>
      <c r="K619"/>
      <c r="L619"/>
      <c r="Q619"/>
      <c r="R619"/>
      <c r="S619"/>
      <c r="AK619"/>
      <c r="AL619"/>
      <c r="AM619"/>
      <c r="AN619"/>
    </row>
    <row r="620" spans="1:40" ht="13">
      <c r="A620" s="5"/>
      <c r="B620" s="5"/>
      <c r="J620"/>
      <c r="K620"/>
      <c r="L620"/>
      <c r="Q620"/>
      <c r="R620"/>
      <c r="S620"/>
      <c r="AK620"/>
      <c r="AL620"/>
      <c r="AM620"/>
      <c r="AN620"/>
    </row>
    <row r="621" spans="1:40" ht="13">
      <c r="A621" s="5"/>
      <c r="B621" s="5"/>
      <c r="J621"/>
      <c r="K621"/>
      <c r="L621"/>
      <c r="Q621"/>
      <c r="R621"/>
      <c r="S621"/>
      <c r="AK621"/>
      <c r="AL621"/>
      <c r="AM621"/>
      <c r="AN621"/>
    </row>
    <row r="622" spans="1:40" ht="13">
      <c r="A622" s="5"/>
      <c r="B622" s="5"/>
      <c r="J622"/>
      <c r="K622"/>
      <c r="L622"/>
      <c r="Q622"/>
      <c r="R622"/>
      <c r="S622"/>
      <c r="AK622"/>
      <c r="AL622"/>
      <c r="AM622"/>
      <c r="AN622"/>
    </row>
    <row r="623" spans="1:40" ht="13">
      <c r="A623" s="5"/>
      <c r="B623" s="5"/>
      <c r="J623"/>
      <c r="K623"/>
      <c r="L623"/>
      <c r="Q623"/>
      <c r="R623"/>
      <c r="S623"/>
      <c r="AK623"/>
      <c r="AL623"/>
      <c r="AM623"/>
      <c r="AN623"/>
    </row>
    <row r="624" spans="1:40" ht="13">
      <c r="A624" s="5"/>
      <c r="B624" s="5"/>
      <c r="J624"/>
      <c r="K624"/>
      <c r="L624"/>
      <c r="Q624"/>
      <c r="R624"/>
      <c r="S624"/>
      <c r="AK624"/>
      <c r="AL624"/>
      <c r="AM624"/>
      <c r="AN624"/>
    </row>
    <row r="625" spans="1:40" ht="13">
      <c r="A625" s="5"/>
      <c r="B625" s="5"/>
      <c r="J625"/>
      <c r="K625"/>
      <c r="L625"/>
      <c r="Q625"/>
      <c r="R625"/>
      <c r="S625"/>
      <c r="AK625"/>
      <c r="AL625"/>
      <c r="AM625"/>
      <c r="AN625"/>
    </row>
    <row r="626" spans="1:40" ht="13">
      <c r="A626" s="5"/>
      <c r="B626" s="5"/>
      <c r="J626"/>
      <c r="K626"/>
      <c r="L626"/>
      <c r="Q626"/>
      <c r="R626"/>
      <c r="S626"/>
      <c r="AK626"/>
      <c r="AL626"/>
      <c r="AM626"/>
      <c r="AN626"/>
    </row>
    <row r="627" spans="1:40" ht="13">
      <c r="A627" s="5"/>
      <c r="B627" s="5"/>
      <c r="J627"/>
      <c r="K627"/>
      <c r="L627"/>
      <c r="Q627"/>
      <c r="R627"/>
      <c r="S627"/>
      <c r="AK627"/>
      <c r="AL627"/>
      <c r="AM627"/>
      <c r="AN627"/>
    </row>
    <row r="628" spans="1:40" ht="13">
      <c r="A628" s="5"/>
      <c r="B628" s="5"/>
      <c r="J628"/>
      <c r="K628"/>
      <c r="L628"/>
      <c r="Q628"/>
      <c r="R628"/>
      <c r="S628"/>
      <c r="AK628"/>
      <c r="AL628"/>
      <c r="AM628"/>
      <c r="AN628"/>
    </row>
    <row r="629" spans="1:40" ht="13">
      <c r="A629" s="5"/>
      <c r="B629" s="5"/>
      <c r="J629"/>
      <c r="K629"/>
      <c r="L629"/>
      <c r="Q629"/>
      <c r="R629"/>
      <c r="S629"/>
      <c r="AK629"/>
      <c r="AL629"/>
      <c r="AM629"/>
      <c r="AN629"/>
    </row>
    <row r="630" spans="1:40" ht="13">
      <c r="A630" s="5"/>
      <c r="B630" s="5"/>
      <c r="J630"/>
      <c r="K630"/>
      <c r="L630"/>
      <c r="Q630"/>
      <c r="R630"/>
      <c r="S630"/>
      <c r="AK630"/>
      <c r="AL630"/>
      <c r="AM630"/>
      <c r="AN630"/>
    </row>
    <row r="631" spans="1:40" ht="13">
      <c r="A631" s="5"/>
      <c r="B631" s="5"/>
      <c r="J631"/>
      <c r="K631"/>
      <c r="L631"/>
      <c r="Q631"/>
      <c r="R631"/>
      <c r="S631"/>
      <c r="AK631"/>
      <c r="AL631"/>
      <c r="AM631"/>
      <c r="AN631"/>
    </row>
    <row r="632" spans="1:40" ht="13">
      <c r="A632" s="5"/>
      <c r="B632" s="5"/>
      <c r="J632"/>
      <c r="K632"/>
      <c r="L632"/>
      <c r="Q632"/>
      <c r="R632"/>
      <c r="S632"/>
      <c r="AK632"/>
      <c r="AL632"/>
      <c r="AM632"/>
      <c r="AN632"/>
    </row>
    <row r="633" spans="1:40" ht="13">
      <c r="A633" s="5"/>
      <c r="B633" s="5"/>
      <c r="J633"/>
      <c r="K633"/>
      <c r="L633"/>
      <c r="Q633"/>
      <c r="R633"/>
      <c r="S633"/>
      <c r="AK633"/>
      <c r="AL633"/>
      <c r="AM633"/>
      <c r="AN633"/>
    </row>
    <row r="634" spans="1:40" ht="13">
      <c r="A634" s="5"/>
      <c r="B634" s="5"/>
      <c r="J634"/>
      <c r="K634"/>
      <c r="L634"/>
      <c r="Q634"/>
      <c r="R634"/>
      <c r="S634"/>
      <c r="AK634"/>
      <c r="AL634"/>
      <c r="AM634"/>
      <c r="AN634"/>
    </row>
    <row r="635" spans="1:40" ht="13">
      <c r="A635" s="5"/>
      <c r="B635" s="5"/>
      <c r="J635"/>
      <c r="K635"/>
      <c r="L635"/>
      <c r="Q635"/>
      <c r="R635"/>
      <c r="S635"/>
      <c r="AK635"/>
      <c r="AL635"/>
      <c r="AM635"/>
      <c r="AN635"/>
    </row>
    <row r="636" spans="1:40" ht="13">
      <c r="A636" s="5"/>
      <c r="B636" s="5"/>
      <c r="J636"/>
      <c r="K636"/>
      <c r="L636"/>
      <c r="Q636"/>
      <c r="R636"/>
      <c r="S636"/>
      <c r="AK636"/>
      <c r="AL636"/>
      <c r="AM636"/>
      <c r="AN636"/>
    </row>
    <row r="637" spans="1:40" ht="13">
      <c r="A637" s="5"/>
      <c r="B637" s="5"/>
      <c r="J637"/>
      <c r="K637"/>
      <c r="L637"/>
      <c r="Q637"/>
      <c r="R637"/>
      <c r="S637"/>
      <c r="AK637"/>
      <c r="AL637"/>
      <c r="AM637"/>
      <c r="AN637"/>
    </row>
    <row r="638" spans="1:40" ht="13">
      <c r="A638" s="5"/>
      <c r="B638" s="5"/>
      <c r="J638"/>
      <c r="K638"/>
      <c r="L638"/>
      <c r="Q638"/>
      <c r="R638"/>
      <c r="S638"/>
      <c r="AK638"/>
      <c r="AL638"/>
      <c r="AM638"/>
      <c r="AN638"/>
    </row>
    <row r="639" spans="1:40" ht="13">
      <c r="A639" s="5"/>
      <c r="B639" s="5"/>
      <c r="J639"/>
      <c r="K639"/>
      <c r="L639"/>
      <c r="Q639"/>
      <c r="R639"/>
      <c r="S639"/>
      <c r="AK639"/>
      <c r="AL639"/>
      <c r="AM639"/>
      <c r="AN639"/>
    </row>
    <row r="640" spans="1:40" ht="13">
      <c r="A640" s="5"/>
      <c r="B640" s="5"/>
      <c r="J640"/>
      <c r="K640"/>
      <c r="L640"/>
      <c r="Q640"/>
      <c r="R640"/>
      <c r="S640"/>
      <c r="AK640"/>
      <c r="AL640"/>
      <c r="AM640"/>
      <c r="AN640"/>
    </row>
    <row r="641" spans="1:40" ht="13">
      <c r="A641" s="5"/>
      <c r="B641" s="5"/>
      <c r="J641"/>
      <c r="K641"/>
      <c r="L641"/>
      <c r="Q641"/>
      <c r="R641"/>
      <c r="S641"/>
      <c r="AK641"/>
      <c r="AL641"/>
      <c r="AM641"/>
      <c r="AN641"/>
    </row>
    <row r="642" spans="1:40" ht="13">
      <c r="A642" s="5"/>
      <c r="B642" s="5"/>
      <c r="J642"/>
      <c r="K642"/>
      <c r="L642"/>
      <c r="Q642"/>
      <c r="R642"/>
      <c r="S642"/>
      <c r="AK642"/>
      <c r="AL642"/>
      <c r="AM642"/>
      <c r="AN642"/>
    </row>
    <row r="643" spans="1:40" ht="13">
      <c r="A643" s="5"/>
      <c r="B643" s="5"/>
      <c r="J643"/>
      <c r="K643"/>
      <c r="L643"/>
      <c r="Q643"/>
      <c r="R643"/>
      <c r="S643"/>
      <c r="AK643"/>
      <c r="AL643"/>
      <c r="AM643"/>
      <c r="AN643"/>
    </row>
    <row r="644" spans="1:40" ht="13">
      <c r="A644" s="5"/>
      <c r="B644" s="5"/>
      <c r="J644"/>
      <c r="K644"/>
      <c r="L644"/>
      <c r="Q644"/>
      <c r="R644"/>
      <c r="S644"/>
      <c r="AK644"/>
      <c r="AL644"/>
      <c r="AM644"/>
      <c r="AN644"/>
    </row>
    <row r="645" spans="1:40" ht="13">
      <c r="A645" s="5"/>
      <c r="B645" s="5"/>
      <c r="J645"/>
      <c r="K645"/>
      <c r="L645"/>
      <c r="Q645"/>
      <c r="R645"/>
      <c r="S645"/>
      <c r="AK645"/>
      <c r="AL645"/>
      <c r="AM645"/>
      <c r="AN645"/>
    </row>
    <row r="646" spans="1:40" ht="13">
      <c r="A646" s="5"/>
      <c r="B646" s="5"/>
      <c r="J646"/>
      <c r="K646"/>
      <c r="L646"/>
      <c r="Q646"/>
      <c r="R646"/>
      <c r="S646"/>
      <c r="AK646"/>
      <c r="AL646"/>
      <c r="AM646"/>
      <c r="AN646"/>
    </row>
    <row r="647" spans="1:40" ht="13">
      <c r="A647" s="5"/>
      <c r="B647" s="5"/>
      <c r="J647"/>
      <c r="K647"/>
      <c r="L647"/>
      <c r="Q647"/>
      <c r="R647"/>
      <c r="S647"/>
      <c r="AK647"/>
      <c r="AL647"/>
      <c r="AM647"/>
      <c r="AN647"/>
    </row>
    <row r="648" spans="1:40" ht="13">
      <c r="A648" s="5"/>
      <c r="B648" s="5"/>
      <c r="J648"/>
      <c r="K648"/>
      <c r="L648"/>
      <c r="Q648"/>
      <c r="R648"/>
      <c r="S648"/>
      <c r="AK648"/>
      <c r="AL648"/>
      <c r="AM648"/>
      <c r="AN648"/>
    </row>
    <row r="649" spans="1:40" ht="13">
      <c r="A649" s="5"/>
      <c r="B649" s="5"/>
      <c r="J649"/>
      <c r="K649"/>
      <c r="L649"/>
      <c r="Q649"/>
      <c r="R649"/>
      <c r="S649"/>
      <c r="AK649"/>
      <c r="AL649"/>
      <c r="AM649"/>
      <c r="AN649"/>
    </row>
    <row r="650" spans="1:40" ht="13">
      <c r="A650" s="5"/>
      <c r="B650" s="5"/>
      <c r="J650"/>
      <c r="K650"/>
      <c r="L650"/>
      <c r="Q650"/>
      <c r="R650"/>
      <c r="S650"/>
      <c r="AK650"/>
      <c r="AL650"/>
      <c r="AM650"/>
      <c r="AN650"/>
    </row>
    <row r="651" spans="1:40" ht="13">
      <c r="A651" s="5"/>
      <c r="B651" s="5"/>
      <c r="J651"/>
      <c r="K651"/>
      <c r="L651"/>
      <c r="Q651"/>
      <c r="R651"/>
      <c r="S651"/>
      <c r="AK651"/>
      <c r="AL651"/>
      <c r="AM651"/>
      <c r="AN651"/>
    </row>
    <row r="652" spans="1:40" ht="13">
      <c r="A652" s="5"/>
      <c r="B652" s="5"/>
      <c r="J652"/>
      <c r="K652"/>
      <c r="L652"/>
      <c r="Q652"/>
      <c r="R652"/>
      <c r="S652"/>
      <c r="AK652"/>
      <c r="AL652"/>
      <c r="AM652"/>
      <c r="AN652"/>
    </row>
    <row r="653" spans="1:40" ht="13">
      <c r="A653" s="5"/>
      <c r="B653" s="5"/>
      <c r="J653"/>
      <c r="K653"/>
      <c r="L653"/>
      <c r="Q653"/>
      <c r="R653"/>
      <c r="S653"/>
      <c r="AK653"/>
      <c r="AL653"/>
      <c r="AM653"/>
      <c r="AN653"/>
    </row>
    <row r="654" spans="1:40" ht="13">
      <c r="A654" s="5"/>
      <c r="B654" s="5"/>
      <c r="J654"/>
      <c r="K654"/>
      <c r="L654"/>
      <c r="Q654"/>
      <c r="R654"/>
      <c r="S654"/>
      <c r="AK654"/>
      <c r="AL654"/>
      <c r="AM654"/>
      <c r="AN654"/>
    </row>
    <row r="655" spans="1:40" ht="13">
      <c r="A655" s="5"/>
      <c r="B655" s="5"/>
      <c r="J655"/>
      <c r="K655"/>
      <c r="L655"/>
      <c r="Q655"/>
      <c r="R655"/>
      <c r="S655"/>
      <c r="AK655"/>
      <c r="AL655"/>
      <c r="AM655"/>
      <c r="AN655"/>
    </row>
    <row r="656" spans="1:40" ht="13">
      <c r="A656" s="5"/>
      <c r="B656" s="5"/>
      <c r="J656"/>
      <c r="K656"/>
      <c r="L656"/>
      <c r="Q656"/>
      <c r="R656"/>
      <c r="S656"/>
      <c r="AK656"/>
      <c r="AL656"/>
      <c r="AM656"/>
      <c r="AN656"/>
    </row>
    <row r="657" spans="1:40" ht="13">
      <c r="A657" s="5"/>
      <c r="B657" s="5"/>
      <c r="J657"/>
      <c r="K657"/>
      <c r="L657"/>
      <c r="Q657"/>
      <c r="R657"/>
      <c r="S657"/>
      <c r="AK657"/>
      <c r="AL657"/>
      <c r="AM657"/>
      <c r="AN657"/>
    </row>
    <row r="658" spans="1:40" ht="13">
      <c r="A658" s="5"/>
      <c r="B658" s="5"/>
      <c r="J658"/>
      <c r="K658"/>
      <c r="L658"/>
      <c r="Q658"/>
      <c r="R658"/>
      <c r="S658"/>
      <c r="AK658"/>
      <c r="AL658"/>
      <c r="AM658"/>
      <c r="AN658"/>
    </row>
    <row r="659" spans="1:40" ht="13">
      <c r="A659" s="5"/>
      <c r="B659" s="5"/>
      <c r="J659"/>
      <c r="K659"/>
      <c r="L659"/>
      <c r="Q659"/>
      <c r="R659"/>
      <c r="S659"/>
      <c r="AK659"/>
      <c r="AL659"/>
      <c r="AM659"/>
      <c r="AN659"/>
    </row>
    <row r="660" spans="1:40" ht="13">
      <c r="A660" s="5"/>
      <c r="B660" s="5"/>
      <c r="J660"/>
      <c r="K660"/>
      <c r="L660"/>
      <c r="Q660"/>
      <c r="R660"/>
      <c r="S660"/>
      <c r="AK660"/>
      <c r="AL660"/>
      <c r="AM660"/>
      <c r="AN660"/>
    </row>
    <row r="661" spans="1:40" ht="13">
      <c r="A661" s="5"/>
      <c r="B661" s="5"/>
      <c r="J661"/>
      <c r="K661"/>
      <c r="L661"/>
      <c r="Q661"/>
      <c r="R661"/>
      <c r="S661"/>
      <c r="AK661"/>
      <c r="AL661"/>
      <c r="AM661"/>
      <c r="AN661"/>
    </row>
    <row r="662" spans="1:40" ht="13">
      <c r="A662" s="5"/>
      <c r="B662" s="5"/>
      <c r="J662"/>
      <c r="K662"/>
      <c r="L662"/>
      <c r="Q662"/>
      <c r="R662"/>
      <c r="S662"/>
      <c r="AK662"/>
      <c r="AL662"/>
      <c r="AM662"/>
      <c r="AN662"/>
    </row>
    <row r="663" spans="1:40" ht="13">
      <c r="A663" s="5"/>
      <c r="B663" s="5"/>
      <c r="J663"/>
      <c r="K663"/>
      <c r="L663"/>
      <c r="Q663"/>
      <c r="R663"/>
      <c r="S663"/>
      <c r="AK663"/>
      <c r="AL663"/>
      <c r="AM663"/>
      <c r="AN663"/>
    </row>
    <row r="664" spans="1:40" ht="13">
      <c r="A664" s="5"/>
      <c r="B664" s="5"/>
      <c r="J664"/>
      <c r="K664"/>
      <c r="L664"/>
      <c r="Q664"/>
      <c r="R664"/>
      <c r="S664"/>
      <c r="AK664"/>
      <c r="AL664"/>
      <c r="AM664"/>
      <c r="AN664"/>
    </row>
    <row r="665" spans="1:40" ht="13">
      <c r="A665" s="5"/>
      <c r="B665" s="5"/>
      <c r="J665"/>
      <c r="K665"/>
      <c r="L665"/>
      <c r="Q665"/>
      <c r="R665"/>
      <c r="S665"/>
      <c r="AK665"/>
      <c r="AL665"/>
      <c r="AM665"/>
      <c r="AN665"/>
    </row>
    <row r="666" spans="1:40" ht="13">
      <c r="A666" s="5"/>
      <c r="B666" s="5"/>
      <c r="J666"/>
      <c r="K666"/>
      <c r="L666"/>
      <c r="Q666"/>
      <c r="R666"/>
      <c r="S666"/>
      <c r="AK666"/>
      <c r="AL666"/>
      <c r="AM666"/>
      <c r="AN666"/>
    </row>
    <row r="667" spans="1:40" ht="13">
      <c r="A667" s="5"/>
      <c r="B667" s="5"/>
      <c r="J667"/>
      <c r="K667"/>
      <c r="L667"/>
      <c r="Q667"/>
      <c r="R667"/>
      <c r="S667"/>
      <c r="AK667"/>
      <c r="AL667"/>
      <c r="AM667"/>
      <c r="AN667"/>
    </row>
    <row r="668" spans="1:40" ht="13">
      <c r="A668" s="5"/>
      <c r="B668" s="5"/>
      <c r="J668"/>
      <c r="K668"/>
      <c r="L668"/>
      <c r="Q668"/>
      <c r="R668"/>
      <c r="S668"/>
      <c r="AK668"/>
      <c r="AL668"/>
      <c r="AM668"/>
      <c r="AN668"/>
    </row>
    <row r="669" spans="1:40" ht="13">
      <c r="A669" s="5"/>
      <c r="B669" s="5"/>
      <c r="J669"/>
      <c r="K669"/>
      <c r="L669"/>
      <c r="Q669"/>
      <c r="R669"/>
      <c r="S669"/>
      <c r="AK669"/>
      <c r="AL669"/>
      <c r="AM669"/>
      <c r="AN669"/>
    </row>
    <row r="670" spans="1:40" ht="13">
      <c r="A670" s="5"/>
      <c r="B670" s="5"/>
      <c r="J670"/>
      <c r="K670"/>
      <c r="L670"/>
      <c r="Q670"/>
      <c r="R670"/>
      <c r="S670"/>
      <c r="AK670"/>
      <c r="AL670"/>
      <c r="AM670"/>
      <c r="AN670"/>
    </row>
    <row r="671" spans="1:40" ht="13">
      <c r="A671" s="5"/>
      <c r="B671" s="5"/>
      <c r="J671"/>
      <c r="K671"/>
      <c r="L671"/>
      <c r="Q671"/>
      <c r="R671"/>
      <c r="S671"/>
      <c r="AK671"/>
      <c r="AL671"/>
      <c r="AM671"/>
      <c r="AN671"/>
    </row>
    <row r="672" spans="1:40" ht="13">
      <c r="A672" s="5"/>
      <c r="B672" s="5"/>
      <c r="J672"/>
      <c r="K672"/>
      <c r="L672"/>
      <c r="Q672"/>
      <c r="R672"/>
      <c r="S672"/>
      <c r="AK672"/>
      <c r="AL672"/>
      <c r="AM672"/>
      <c r="AN672"/>
    </row>
    <row r="673" spans="1:40" ht="13">
      <c r="A673" s="5"/>
      <c r="B673" s="5"/>
      <c r="J673"/>
      <c r="K673"/>
      <c r="L673"/>
      <c r="Q673"/>
      <c r="R673"/>
      <c r="S673"/>
      <c r="AK673"/>
      <c r="AL673"/>
      <c r="AM673"/>
      <c r="AN673"/>
    </row>
    <row r="674" spans="1:40" ht="13">
      <c r="A674" s="5"/>
      <c r="B674" s="5"/>
      <c r="J674"/>
      <c r="K674"/>
      <c r="L674"/>
      <c r="Q674"/>
      <c r="R674"/>
      <c r="S674"/>
      <c r="AK674"/>
      <c r="AL674"/>
      <c r="AM674"/>
      <c r="AN674"/>
    </row>
    <row r="675" spans="1:40" ht="13">
      <c r="A675" s="5"/>
      <c r="B675" s="5"/>
      <c r="J675"/>
      <c r="K675"/>
      <c r="L675"/>
      <c r="Q675"/>
      <c r="R675"/>
      <c r="S675"/>
      <c r="AK675"/>
      <c r="AL675"/>
      <c r="AM675"/>
      <c r="AN675"/>
    </row>
    <row r="676" spans="1:40" ht="13">
      <c r="A676" s="5"/>
      <c r="B676" s="5"/>
      <c r="J676"/>
      <c r="K676"/>
      <c r="L676"/>
      <c r="Q676"/>
      <c r="R676"/>
      <c r="S676"/>
      <c r="AK676"/>
      <c r="AL676"/>
      <c r="AM676"/>
      <c r="AN676"/>
    </row>
    <row r="677" spans="1:40" ht="13">
      <c r="A677" s="5"/>
      <c r="B677" s="5"/>
      <c r="J677"/>
      <c r="K677"/>
      <c r="L677"/>
      <c r="Q677"/>
      <c r="R677"/>
      <c r="S677"/>
      <c r="AK677"/>
      <c r="AL677"/>
      <c r="AM677"/>
      <c r="AN677"/>
    </row>
    <row r="678" spans="1:40" ht="13">
      <c r="A678" s="5"/>
      <c r="B678" s="5"/>
      <c r="J678"/>
      <c r="K678"/>
      <c r="L678"/>
      <c r="Q678"/>
      <c r="R678"/>
      <c r="S678"/>
      <c r="AK678"/>
      <c r="AL678"/>
      <c r="AM678"/>
      <c r="AN678"/>
    </row>
    <row r="679" spans="1:40" ht="13">
      <c r="A679" s="5"/>
      <c r="B679" s="5"/>
      <c r="J679"/>
      <c r="K679"/>
      <c r="L679"/>
      <c r="Q679"/>
      <c r="R679"/>
      <c r="S679"/>
      <c r="AK679"/>
      <c r="AL679"/>
      <c r="AM679"/>
      <c r="AN679"/>
    </row>
    <row r="680" spans="1:40" ht="13">
      <c r="A680" s="5"/>
      <c r="B680" s="5"/>
      <c r="J680"/>
      <c r="K680"/>
      <c r="L680"/>
      <c r="Q680"/>
      <c r="R680"/>
      <c r="S680"/>
      <c r="AK680"/>
      <c r="AL680"/>
      <c r="AM680"/>
      <c r="AN680"/>
    </row>
    <row r="681" spans="1:40" ht="13">
      <c r="A681" s="5"/>
      <c r="B681" s="5"/>
      <c r="J681"/>
      <c r="K681"/>
      <c r="L681"/>
      <c r="Q681"/>
      <c r="R681"/>
      <c r="S681"/>
      <c r="AK681"/>
      <c r="AL681"/>
      <c r="AM681"/>
      <c r="AN681"/>
    </row>
    <row r="682" spans="1:40" ht="13">
      <c r="A682" s="5"/>
      <c r="B682" s="5"/>
      <c r="J682"/>
      <c r="K682"/>
      <c r="L682"/>
      <c r="Q682"/>
      <c r="R682"/>
      <c r="S682"/>
      <c r="AK682"/>
      <c r="AL682"/>
      <c r="AM682"/>
      <c r="AN682"/>
    </row>
    <row r="683" spans="1:40" ht="13">
      <c r="A683" s="5"/>
      <c r="B683" s="5"/>
      <c r="J683"/>
      <c r="K683"/>
      <c r="L683"/>
      <c r="Q683"/>
      <c r="R683"/>
      <c r="S683"/>
      <c r="AK683"/>
      <c r="AL683"/>
      <c r="AM683"/>
      <c r="AN683"/>
    </row>
    <row r="684" spans="1:40" ht="13">
      <c r="A684" s="5"/>
      <c r="B684" s="5"/>
      <c r="J684"/>
      <c r="K684"/>
      <c r="L684"/>
      <c r="Q684"/>
      <c r="R684"/>
      <c r="S684"/>
      <c r="AK684"/>
      <c r="AL684"/>
      <c r="AM684"/>
      <c r="AN684"/>
    </row>
    <row r="685" spans="1:40" ht="13">
      <c r="A685" s="5"/>
      <c r="B685" s="5"/>
      <c r="J685"/>
      <c r="K685"/>
      <c r="L685"/>
      <c r="Q685"/>
      <c r="R685"/>
      <c r="S685"/>
      <c r="AK685"/>
      <c r="AL685"/>
      <c r="AM685"/>
      <c r="AN685"/>
    </row>
    <row r="686" spans="1:40" ht="13">
      <c r="A686" s="5"/>
      <c r="B686" s="5"/>
      <c r="J686"/>
      <c r="K686"/>
      <c r="L686"/>
      <c r="Q686"/>
      <c r="R686"/>
      <c r="S686"/>
      <c r="AK686"/>
      <c r="AL686"/>
      <c r="AM686"/>
      <c r="AN686"/>
    </row>
    <row r="687" spans="1:40" ht="13">
      <c r="A687" s="5"/>
      <c r="B687" s="5"/>
      <c r="J687"/>
      <c r="K687"/>
      <c r="L687"/>
      <c r="Q687"/>
      <c r="R687"/>
      <c r="S687"/>
      <c r="AK687"/>
      <c r="AL687"/>
      <c r="AM687"/>
      <c r="AN687"/>
    </row>
    <row r="688" spans="1:40" ht="13">
      <c r="A688" s="5"/>
      <c r="B688" s="5"/>
      <c r="J688"/>
      <c r="K688"/>
      <c r="L688"/>
      <c r="Q688"/>
      <c r="R688"/>
      <c r="S688"/>
      <c r="AK688"/>
      <c r="AL688"/>
      <c r="AM688"/>
      <c r="AN688"/>
    </row>
    <row r="689" spans="1:40" ht="13">
      <c r="A689" s="5"/>
      <c r="B689" s="5"/>
      <c r="J689"/>
      <c r="K689"/>
      <c r="L689"/>
      <c r="Q689"/>
      <c r="R689"/>
      <c r="S689"/>
      <c r="AK689"/>
      <c r="AL689"/>
      <c r="AM689"/>
      <c r="AN689"/>
    </row>
    <row r="690" spans="1:40" ht="13">
      <c r="A690" s="5"/>
      <c r="B690" s="5"/>
      <c r="J690"/>
      <c r="K690"/>
      <c r="L690"/>
      <c r="Q690"/>
      <c r="R690"/>
      <c r="S690"/>
      <c r="AK690"/>
      <c r="AL690"/>
      <c r="AM690"/>
      <c r="AN690"/>
    </row>
    <row r="691" spans="1:40" ht="13">
      <c r="A691" s="5"/>
      <c r="B691" s="5"/>
      <c r="J691"/>
      <c r="K691"/>
      <c r="L691"/>
      <c r="Q691"/>
      <c r="R691"/>
      <c r="S691"/>
      <c r="AK691"/>
      <c r="AL691"/>
      <c r="AM691"/>
      <c r="AN691"/>
    </row>
    <row r="692" spans="1:40" ht="13">
      <c r="A692" s="5"/>
      <c r="B692" s="5"/>
      <c r="J692"/>
      <c r="K692"/>
      <c r="L692"/>
      <c r="Q692"/>
      <c r="R692"/>
      <c r="S692"/>
      <c r="AK692"/>
      <c r="AL692"/>
      <c r="AM692"/>
      <c r="AN692"/>
    </row>
    <row r="693" spans="1:40" ht="13">
      <c r="A693" s="5"/>
      <c r="B693" s="5"/>
      <c r="J693"/>
      <c r="K693"/>
      <c r="L693"/>
      <c r="Q693"/>
      <c r="R693"/>
      <c r="S693"/>
      <c r="AK693"/>
      <c r="AL693"/>
      <c r="AM693"/>
      <c r="AN693"/>
    </row>
    <row r="694" spans="1:40" ht="13">
      <c r="A694" s="5"/>
      <c r="B694" s="5"/>
      <c r="J694"/>
      <c r="K694"/>
      <c r="L694"/>
      <c r="Q694"/>
      <c r="R694"/>
      <c r="S694"/>
      <c r="AK694"/>
      <c r="AL694"/>
      <c r="AM694"/>
      <c r="AN694"/>
    </row>
    <row r="695" spans="1:40" ht="13">
      <c r="A695" s="5"/>
      <c r="B695" s="5"/>
      <c r="J695"/>
      <c r="K695"/>
      <c r="L695"/>
      <c r="Q695"/>
      <c r="R695"/>
      <c r="S695"/>
      <c r="AK695"/>
      <c r="AL695"/>
      <c r="AM695"/>
      <c r="AN695"/>
    </row>
    <row r="696" spans="1:40" ht="13">
      <c r="A696" s="5"/>
      <c r="B696" s="5"/>
      <c r="J696"/>
      <c r="K696"/>
      <c r="L696"/>
      <c r="Q696"/>
      <c r="R696"/>
      <c r="S696"/>
      <c r="AK696"/>
      <c r="AL696"/>
      <c r="AM696"/>
      <c r="AN696"/>
    </row>
    <row r="697" spans="1:40" ht="13">
      <c r="A697" s="5"/>
      <c r="B697" s="5"/>
      <c r="J697"/>
      <c r="K697"/>
      <c r="L697"/>
      <c r="Q697"/>
      <c r="R697"/>
      <c r="S697"/>
      <c r="AK697"/>
      <c r="AL697"/>
      <c r="AM697"/>
      <c r="AN697"/>
    </row>
    <row r="698" spans="1:40" ht="13">
      <c r="A698" s="5"/>
      <c r="B698" s="5"/>
      <c r="J698"/>
      <c r="K698"/>
      <c r="L698"/>
      <c r="Q698"/>
      <c r="R698"/>
      <c r="S698"/>
      <c r="AK698"/>
      <c r="AL698"/>
      <c r="AM698"/>
      <c r="AN698"/>
    </row>
    <row r="699" spans="1:40" ht="13">
      <c r="A699" s="5"/>
      <c r="B699" s="5"/>
      <c r="J699"/>
      <c r="K699"/>
      <c r="L699"/>
      <c r="Q699"/>
      <c r="R699"/>
      <c r="S699"/>
      <c r="AK699"/>
      <c r="AL699"/>
      <c r="AM699"/>
      <c r="AN699"/>
    </row>
    <row r="700" spans="1:40" ht="13">
      <c r="A700" s="5"/>
      <c r="B700" s="5"/>
      <c r="J700"/>
      <c r="K700"/>
      <c r="L700"/>
      <c r="Q700"/>
      <c r="R700"/>
      <c r="S700"/>
      <c r="AK700"/>
      <c r="AL700"/>
      <c r="AM700"/>
      <c r="AN700"/>
    </row>
    <row r="701" spans="1:40" ht="13">
      <c r="A701" s="5"/>
      <c r="B701" s="5"/>
      <c r="J701"/>
      <c r="K701"/>
      <c r="L701"/>
      <c r="Q701"/>
      <c r="R701"/>
      <c r="S701"/>
      <c r="AK701"/>
      <c r="AL701"/>
      <c r="AM701"/>
      <c r="AN701"/>
    </row>
    <row r="702" spans="1:40" ht="13">
      <c r="A702" s="5"/>
      <c r="B702" s="5"/>
      <c r="J702"/>
      <c r="K702"/>
      <c r="L702"/>
      <c r="Q702"/>
      <c r="R702"/>
      <c r="S702"/>
      <c r="AK702"/>
      <c r="AL702"/>
      <c r="AM702"/>
      <c r="AN702"/>
    </row>
    <row r="703" spans="1:40" ht="13">
      <c r="A703" s="5"/>
      <c r="B703" s="5"/>
      <c r="J703"/>
      <c r="K703"/>
      <c r="L703"/>
      <c r="Q703"/>
      <c r="R703"/>
      <c r="S703"/>
      <c r="AK703"/>
      <c r="AL703"/>
      <c r="AM703"/>
      <c r="AN703"/>
    </row>
    <row r="704" spans="1:40" ht="13">
      <c r="A704" s="5"/>
      <c r="B704" s="5"/>
      <c r="J704"/>
      <c r="K704"/>
      <c r="L704"/>
      <c r="Q704"/>
      <c r="R704"/>
      <c r="S704"/>
      <c r="AK704"/>
      <c r="AL704"/>
      <c r="AM704"/>
      <c r="AN704"/>
    </row>
    <row r="705" spans="1:40" ht="13">
      <c r="A705" s="5"/>
      <c r="B705" s="5"/>
      <c r="J705"/>
      <c r="K705"/>
      <c r="L705"/>
      <c r="Q705"/>
      <c r="R705"/>
      <c r="S705"/>
      <c r="AK705"/>
      <c r="AL705"/>
      <c r="AM705"/>
      <c r="AN705"/>
    </row>
    <row r="706" spans="1:40" ht="13">
      <c r="A706" s="5"/>
      <c r="B706" s="5"/>
      <c r="J706"/>
      <c r="K706"/>
      <c r="L706"/>
      <c r="Q706"/>
      <c r="R706"/>
      <c r="S706"/>
      <c r="AK706"/>
      <c r="AL706"/>
      <c r="AM706"/>
      <c r="AN706"/>
    </row>
    <row r="707" spans="1:40" ht="13">
      <c r="A707" s="5"/>
      <c r="B707" s="5"/>
      <c r="J707"/>
      <c r="K707"/>
      <c r="L707"/>
      <c r="Q707"/>
      <c r="R707"/>
      <c r="S707"/>
      <c r="AK707"/>
      <c r="AL707"/>
      <c r="AM707"/>
      <c r="AN707"/>
    </row>
    <row r="708" spans="1:40" ht="13">
      <c r="A708" s="5"/>
      <c r="B708" s="5"/>
      <c r="J708"/>
      <c r="K708"/>
      <c r="L708"/>
      <c r="Q708"/>
      <c r="R708"/>
      <c r="S708"/>
      <c r="AK708"/>
      <c r="AL708"/>
      <c r="AM708"/>
      <c r="AN708"/>
    </row>
    <row r="709" spans="1:40" ht="13">
      <c r="A709" s="5"/>
      <c r="B709" s="5"/>
      <c r="J709"/>
      <c r="K709"/>
      <c r="L709"/>
      <c r="Q709"/>
      <c r="R709"/>
      <c r="S709"/>
      <c r="AK709"/>
      <c r="AL709"/>
      <c r="AM709"/>
      <c r="AN709"/>
    </row>
    <row r="710" spans="1:40" ht="13">
      <c r="A710" s="5"/>
      <c r="B710" s="5"/>
      <c r="J710"/>
      <c r="K710"/>
      <c r="L710"/>
      <c r="Q710"/>
      <c r="R710"/>
      <c r="S710"/>
      <c r="AK710"/>
      <c r="AL710"/>
      <c r="AM710"/>
      <c r="AN710"/>
    </row>
    <row r="711" spans="1:40" ht="13">
      <c r="A711" s="5"/>
      <c r="B711" s="5"/>
      <c r="J711"/>
      <c r="K711"/>
      <c r="L711"/>
      <c r="Q711"/>
      <c r="R711"/>
      <c r="S711"/>
      <c r="AK711"/>
      <c r="AL711"/>
      <c r="AM711"/>
      <c r="AN711"/>
    </row>
    <row r="712" spans="1:40" ht="13">
      <c r="A712" s="5"/>
      <c r="B712" s="5"/>
      <c r="J712"/>
      <c r="K712"/>
      <c r="L712"/>
      <c r="Q712"/>
      <c r="R712"/>
      <c r="S712"/>
      <c r="AK712"/>
      <c r="AL712"/>
      <c r="AM712"/>
      <c r="AN712"/>
    </row>
    <row r="713" spans="1:40" ht="13">
      <c r="A713" s="5"/>
      <c r="B713" s="5"/>
      <c r="J713"/>
      <c r="K713"/>
      <c r="L713"/>
      <c r="Q713"/>
      <c r="R713"/>
      <c r="S713"/>
      <c r="AK713"/>
      <c r="AL713"/>
      <c r="AM713"/>
      <c r="AN713"/>
    </row>
    <row r="714" spans="1:40" ht="13">
      <c r="A714" s="5"/>
      <c r="B714" s="5"/>
      <c r="J714"/>
      <c r="K714"/>
      <c r="L714"/>
      <c r="Q714"/>
      <c r="R714"/>
      <c r="S714"/>
      <c r="AK714"/>
      <c r="AL714"/>
      <c r="AM714"/>
      <c r="AN714"/>
    </row>
    <row r="715" spans="1:40" ht="13">
      <c r="A715" s="5"/>
      <c r="B715" s="5"/>
      <c r="J715"/>
      <c r="K715"/>
      <c r="L715"/>
      <c r="Q715"/>
      <c r="R715"/>
      <c r="S715"/>
      <c r="AK715"/>
      <c r="AL715"/>
      <c r="AM715"/>
      <c r="AN715"/>
    </row>
    <row r="716" spans="1:40" ht="13">
      <c r="A716" s="5"/>
      <c r="B716" s="5"/>
      <c r="J716"/>
      <c r="K716"/>
      <c r="L716"/>
      <c r="Q716"/>
      <c r="R716"/>
      <c r="S716"/>
      <c r="AK716"/>
      <c r="AL716"/>
      <c r="AM716"/>
      <c r="AN716"/>
    </row>
    <row r="717" spans="1:40" ht="13">
      <c r="A717" s="5"/>
      <c r="B717" s="5"/>
      <c r="J717"/>
      <c r="K717"/>
      <c r="L717"/>
      <c r="Q717"/>
      <c r="R717"/>
      <c r="S717"/>
      <c r="AK717"/>
      <c r="AL717"/>
      <c r="AM717"/>
      <c r="AN717"/>
    </row>
    <row r="718" spans="1:40" ht="13">
      <c r="A718" s="5"/>
      <c r="B718" s="5"/>
      <c r="J718"/>
      <c r="K718"/>
      <c r="L718"/>
      <c r="Q718"/>
      <c r="R718"/>
      <c r="S718"/>
      <c r="AK718"/>
      <c r="AL718"/>
      <c r="AM718"/>
      <c r="AN718"/>
    </row>
    <row r="719" spans="1:40" ht="13">
      <c r="A719" s="5"/>
      <c r="B719" s="5"/>
      <c r="J719"/>
      <c r="K719"/>
      <c r="L719"/>
      <c r="Q719"/>
      <c r="R719"/>
      <c r="S719"/>
      <c r="AK719"/>
      <c r="AL719"/>
      <c r="AM719"/>
      <c r="AN719"/>
    </row>
    <row r="720" spans="1:40" ht="13">
      <c r="A720" s="5"/>
      <c r="B720" s="5"/>
      <c r="J720"/>
      <c r="K720"/>
      <c r="L720"/>
      <c r="Q720"/>
      <c r="R720"/>
      <c r="S720"/>
      <c r="AK720"/>
      <c r="AL720"/>
      <c r="AM720"/>
      <c r="AN720"/>
    </row>
  </sheetData>
  <mergeCells count="3">
    <mergeCell ref="M1:U1"/>
    <mergeCell ref="V1:AP1"/>
    <mergeCell ref="C1:L1"/>
  </mergeCells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CB76-2611-7246-B330-B1E729257182}">
  <dimension ref="A1:V73"/>
  <sheetViews>
    <sheetView zoomScale="120" zoomScaleNormal="120" workbookViewId="0">
      <pane xSplit="1" topLeftCell="B1" activePane="topRight" state="frozen"/>
      <selection pane="topRight" activeCell="C34" sqref="C34"/>
    </sheetView>
  </sheetViews>
  <sheetFormatPr baseColWidth="10" defaultRowHeight="13"/>
  <cols>
    <col min="1" max="1" width="41.6640625" style="32" customWidth="1"/>
    <col min="2" max="2" width="26.5" style="32" customWidth="1"/>
    <col min="3" max="3" width="10.83203125" customWidth="1"/>
    <col min="4" max="4" width="7.6640625" bestFit="1" customWidth="1"/>
    <col min="7" max="7" width="14.1640625" bestFit="1" customWidth="1"/>
    <col min="8" max="8" width="11.5" style="10" bestFit="1" customWidth="1"/>
    <col min="9" max="9" width="11.33203125" style="10" customWidth="1"/>
    <col min="10" max="10" width="10.83203125" style="10"/>
    <col min="11" max="11" width="12" style="10" bestFit="1" customWidth="1"/>
    <col min="12" max="13" width="11" style="10" bestFit="1" customWidth="1"/>
    <col min="14" max="14" width="14.5" style="10" bestFit="1" customWidth="1"/>
    <col min="15" max="17" width="11" style="10" bestFit="1" customWidth="1"/>
    <col min="19" max="19" width="73.1640625" bestFit="1" customWidth="1"/>
    <col min="20" max="21" width="9.83203125" bestFit="1" customWidth="1"/>
    <col min="22" max="22" width="7" bestFit="1" customWidth="1"/>
  </cols>
  <sheetData>
    <row r="1" spans="1:19" s="29" customFormat="1" ht="16">
      <c r="A1" s="30" t="s">
        <v>263</v>
      </c>
      <c r="B1" s="30" t="s">
        <v>244</v>
      </c>
      <c r="C1" s="28" t="s">
        <v>245</v>
      </c>
      <c r="D1" s="28" t="s">
        <v>202</v>
      </c>
      <c r="E1" s="28" t="s">
        <v>203</v>
      </c>
      <c r="F1" s="28" t="s">
        <v>204</v>
      </c>
      <c r="G1" s="28" t="s">
        <v>217</v>
      </c>
      <c r="H1" s="28" t="s">
        <v>218</v>
      </c>
      <c r="I1" s="28" t="s">
        <v>219</v>
      </c>
      <c r="J1" s="28" t="s">
        <v>205</v>
      </c>
      <c r="K1" s="29" t="s">
        <v>243</v>
      </c>
      <c r="L1" s="29" t="s">
        <v>190</v>
      </c>
      <c r="M1" s="29" t="s">
        <v>191</v>
      </c>
      <c r="N1" s="29" t="s">
        <v>200</v>
      </c>
      <c r="O1" s="29" t="s">
        <v>209</v>
      </c>
      <c r="P1" s="29" t="s">
        <v>221</v>
      </c>
      <c r="Q1" s="29" t="s">
        <v>222</v>
      </c>
    </row>
    <row r="2" spans="1:19" ht="16">
      <c r="A2" s="31" t="s">
        <v>111</v>
      </c>
      <c r="B2" s="53" t="s">
        <v>43</v>
      </c>
      <c r="C2" s="45">
        <v>5.29</v>
      </c>
      <c r="D2" s="45">
        <v>1.77</v>
      </c>
      <c r="E2" s="45">
        <v>30.73</v>
      </c>
      <c r="F2" s="45">
        <v>12.44</v>
      </c>
      <c r="G2" s="44">
        <v>7.67</v>
      </c>
      <c r="H2" s="44">
        <v>1.1499999999999999</v>
      </c>
      <c r="I2" s="44">
        <f>H2/2</f>
        <v>0.57499999999999996</v>
      </c>
      <c r="J2" s="10" t="s">
        <v>180</v>
      </c>
      <c r="K2" s="10">
        <v>112.09</v>
      </c>
      <c r="L2" s="45">
        <v>4.5999999999999996</v>
      </c>
      <c r="M2" s="45">
        <v>4.9000000000000004</v>
      </c>
      <c r="N2" s="10">
        <f>M2-L2</f>
        <v>0.30000000000000071</v>
      </c>
      <c r="O2" s="10">
        <f>AVERAGE(L2:M2)</f>
        <v>4.75</v>
      </c>
      <c r="P2" s="45">
        <v>-510.33</v>
      </c>
      <c r="Q2" s="45">
        <v>6.35</v>
      </c>
      <c r="S2" s="28"/>
    </row>
    <row r="3" spans="1:19" ht="16">
      <c r="A3" s="31" t="s">
        <v>110</v>
      </c>
      <c r="B3" s="53" t="s">
        <v>44</v>
      </c>
      <c r="C3" s="45">
        <v>10.039999999999999</v>
      </c>
      <c r="D3" s="45">
        <v>0.8</v>
      </c>
      <c r="E3" s="45">
        <v>84.46</v>
      </c>
      <c r="F3" s="45">
        <v>4.4800000000000004</v>
      </c>
      <c r="G3" s="44">
        <v>82</v>
      </c>
      <c r="H3" s="44">
        <v>62.55</v>
      </c>
      <c r="I3" s="44">
        <f t="shared" ref="I3:I66" si="0">H3/2</f>
        <v>31.274999999999999</v>
      </c>
      <c r="J3" s="10" t="s">
        <v>181</v>
      </c>
      <c r="K3" s="10">
        <v>164.23</v>
      </c>
      <c r="L3" s="45">
        <v>5</v>
      </c>
      <c r="M3" s="45">
        <v>5.6</v>
      </c>
      <c r="N3" s="10">
        <f>M3-L3</f>
        <v>0.59999999999999964</v>
      </c>
      <c r="O3" s="10">
        <f>AVERAGE(L3:M3)</f>
        <v>5.3</v>
      </c>
      <c r="P3" s="45">
        <v>-593</v>
      </c>
      <c r="Q3" s="45">
        <v>68.790000000000006</v>
      </c>
      <c r="S3" s="28"/>
    </row>
    <row r="4" spans="1:19" ht="16">
      <c r="A4" s="31" t="s">
        <v>142</v>
      </c>
      <c r="B4" s="53" t="s">
        <v>81</v>
      </c>
      <c r="C4" s="45">
        <v>-0.51</v>
      </c>
      <c r="D4" s="45">
        <v>0.57999999999999996</v>
      </c>
      <c r="E4" s="45">
        <v>49.44</v>
      </c>
      <c r="F4" s="45">
        <v>22.69</v>
      </c>
      <c r="G4" s="44">
        <v>25.33</v>
      </c>
      <c r="H4" s="44">
        <v>22.9</v>
      </c>
      <c r="I4" s="44">
        <f t="shared" si="0"/>
        <v>11.45</v>
      </c>
      <c r="J4" s="10" t="s">
        <v>179</v>
      </c>
      <c r="K4" s="10">
        <v>132.16</v>
      </c>
      <c r="L4" s="45">
        <v>7.2</v>
      </c>
      <c r="M4" s="45">
        <v>6.7</v>
      </c>
      <c r="N4" s="10">
        <f t="shared" ref="N4:N67" si="1">M4-L4</f>
        <v>-0.5</v>
      </c>
      <c r="O4" s="10">
        <f t="shared" ref="O4:O67" si="2">AVERAGE(L4:M4)</f>
        <v>6.95</v>
      </c>
      <c r="P4" s="45">
        <v>-522.33000000000004</v>
      </c>
      <c r="Q4" s="45">
        <v>28.04</v>
      </c>
      <c r="S4" s="28"/>
    </row>
    <row r="5" spans="1:19" ht="16">
      <c r="A5" s="31" t="s">
        <v>129</v>
      </c>
      <c r="B5" s="53" t="s">
        <v>65</v>
      </c>
      <c r="C5" s="45">
        <v>2.09</v>
      </c>
      <c r="D5" s="45">
        <v>0.75</v>
      </c>
      <c r="E5" s="45">
        <v>19.27</v>
      </c>
      <c r="F5" s="45">
        <v>7.28</v>
      </c>
      <c r="G5" s="44">
        <v>149</v>
      </c>
      <c r="H5" s="44">
        <v>14.73</v>
      </c>
      <c r="I5" s="44">
        <f t="shared" si="0"/>
        <v>7.3650000000000002</v>
      </c>
      <c r="J5" s="10" t="s">
        <v>179</v>
      </c>
      <c r="K5" s="10">
        <v>69.069999999999993</v>
      </c>
      <c r="L5" s="45">
        <v>5.9</v>
      </c>
      <c r="M5" s="45">
        <v>6</v>
      </c>
      <c r="N5" s="10">
        <f t="shared" si="1"/>
        <v>9.9999999999999645E-2</v>
      </c>
      <c r="O5" s="10">
        <f t="shared" si="2"/>
        <v>5.95</v>
      </c>
      <c r="P5" s="45">
        <v>-652</v>
      </c>
      <c r="Q5" s="45">
        <v>25.24</v>
      </c>
      <c r="S5" s="28"/>
    </row>
    <row r="6" spans="1:19" ht="16">
      <c r="A6" s="31" t="s">
        <v>121</v>
      </c>
      <c r="B6" s="53" t="s">
        <v>55</v>
      </c>
      <c r="C6" s="45">
        <v>3.54</v>
      </c>
      <c r="D6" s="45">
        <v>1.08</v>
      </c>
      <c r="E6" s="45">
        <v>67.790000000000006</v>
      </c>
      <c r="F6" s="45">
        <v>10.62</v>
      </c>
      <c r="G6" s="44">
        <v>46.67</v>
      </c>
      <c r="H6" s="44">
        <v>27.02</v>
      </c>
      <c r="I6" s="44">
        <f t="shared" si="0"/>
        <v>13.51</v>
      </c>
      <c r="J6" s="10" t="s">
        <v>185</v>
      </c>
      <c r="K6" s="10">
        <v>160.28</v>
      </c>
      <c r="L6" s="45">
        <v>5.5</v>
      </c>
      <c r="M6" s="45">
        <v>4.5999999999999996</v>
      </c>
      <c r="N6" s="10">
        <f t="shared" si="1"/>
        <v>-0.90000000000000036</v>
      </c>
      <c r="O6" s="10">
        <f t="shared" si="2"/>
        <v>5.05</v>
      </c>
      <c r="P6" s="45">
        <v>-568.33000000000004</v>
      </c>
      <c r="Q6" s="45">
        <v>19.04</v>
      </c>
      <c r="S6" s="28"/>
    </row>
    <row r="7" spans="1:19" ht="16">
      <c r="A7" s="31" t="s">
        <v>144</v>
      </c>
      <c r="B7" s="53" t="s">
        <v>87</v>
      </c>
      <c r="C7" s="45">
        <v>9.77</v>
      </c>
      <c r="D7" s="45">
        <v>2.41</v>
      </c>
      <c r="E7" s="45">
        <v>2.88</v>
      </c>
      <c r="F7" s="45">
        <v>50.6</v>
      </c>
      <c r="G7" s="44">
        <v>121.67</v>
      </c>
      <c r="H7" s="44">
        <v>28.36</v>
      </c>
      <c r="I7" s="44">
        <f t="shared" si="0"/>
        <v>14.18</v>
      </c>
      <c r="J7" s="10" t="s">
        <v>181</v>
      </c>
      <c r="K7" s="10">
        <v>226.43</v>
      </c>
      <c r="L7" s="45">
        <v>8.4</v>
      </c>
      <c r="M7" s="45">
        <v>7.4</v>
      </c>
      <c r="N7" s="10">
        <f t="shared" si="1"/>
        <v>-1</v>
      </c>
      <c r="O7" s="10">
        <f t="shared" si="2"/>
        <v>7.9</v>
      </c>
      <c r="P7" s="45">
        <v>-585.66999999999996</v>
      </c>
      <c r="Q7" s="45">
        <v>14.5</v>
      </c>
      <c r="S7" s="28"/>
    </row>
    <row r="8" spans="1:19" ht="16">
      <c r="A8" s="31" t="s">
        <v>148</v>
      </c>
      <c r="B8" s="53" t="s">
        <v>92</v>
      </c>
      <c r="C8" s="45">
        <v>-1.36</v>
      </c>
      <c r="D8" s="45">
        <v>0.22</v>
      </c>
      <c r="E8" s="45">
        <v>34.11</v>
      </c>
      <c r="F8" s="45">
        <v>40.68</v>
      </c>
      <c r="G8" s="44">
        <v>100</v>
      </c>
      <c r="H8" s="44">
        <v>41.33</v>
      </c>
      <c r="I8" s="44">
        <f t="shared" si="0"/>
        <v>20.664999999999999</v>
      </c>
      <c r="J8" s="10" t="s">
        <v>182</v>
      </c>
      <c r="K8" s="10">
        <v>202.25</v>
      </c>
      <c r="L8" s="45">
        <v>5.7</v>
      </c>
      <c r="M8" s="45">
        <v>7.3</v>
      </c>
      <c r="N8" s="10">
        <f t="shared" si="1"/>
        <v>1.5999999999999996</v>
      </c>
      <c r="O8" s="10">
        <f t="shared" si="2"/>
        <v>6.5</v>
      </c>
      <c r="P8" s="45">
        <v>-612</v>
      </c>
      <c r="Q8" s="45">
        <v>34.770000000000003</v>
      </c>
      <c r="S8" s="28"/>
    </row>
    <row r="9" spans="1:19" ht="16">
      <c r="A9" s="31" t="s">
        <v>138</v>
      </c>
      <c r="B9" s="53" t="s">
        <v>76</v>
      </c>
      <c r="C9" s="45">
        <v>-1.43</v>
      </c>
      <c r="D9" s="45">
        <v>0.87</v>
      </c>
      <c r="E9" s="45">
        <v>8.65</v>
      </c>
      <c r="F9" s="45">
        <v>6.86</v>
      </c>
      <c r="G9" s="44">
        <v>119.5</v>
      </c>
      <c r="H9" s="44">
        <v>0.71</v>
      </c>
      <c r="I9" s="44">
        <f t="shared" si="0"/>
        <v>0.35499999999999998</v>
      </c>
      <c r="J9" s="10" t="s">
        <v>180</v>
      </c>
      <c r="K9" s="10">
        <v>211.22</v>
      </c>
      <c r="L9" s="45">
        <v>6.8</v>
      </c>
      <c r="M9" s="45">
        <v>6</v>
      </c>
      <c r="N9" s="10">
        <f t="shared" si="1"/>
        <v>-0.79999999999999982</v>
      </c>
      <c r="O9" s="10">
        <f t="shared" si="2"/>
        <v>6.4</v>
      </c>
      <c r="P9" s="45">
        <v>-629.5</v>
      </c>
      <c r="Q9" s="45">
        <v>9.19</v>
      </c>
      <c r="S9" s="28"/>
    </row>
    <row r="10" spans="1:19" ht="16">
      <c r="A10" s="31" t="s">
        <v>246</v>
      </c>
      <c r="B10" s="53" t="s">
        <v>41</v>
      </c>
      <c r="C10" s="45">
        <v>3.48</v>
      </c>
      <c r="D10" s="45">
        <v>1.25</v>
      </c>
      <c r="E10" s="45">
        <v>49.93</v>
      </c>
      <c r="F10" s="45">
        <v>19.62</v>
      </c>
      <c r="G10" s="44">
        <v>113</v>
      </c>
      <c r="H10" s="44">
        <v>34.869999999999997</v>
      </c>
      <c r="I10" s="44">
        <f t="shared" si="0"/>
        <v>17.434999999999999</v>
      </c>
      <c r="J10" s="10" t="s">
        <v>179</v>
      </c>
      <c r="K10" s="10">
        <v>156.18</v>
      </c>
      <c r="L10" s="45">
        <v>6.6</v>
      </c>
      <c r="M10" s="45">
        <v>6.4</v>
      </c>
      <c r="N10" s="10">
        <f t="shared" si="1"/>
        <v>-0.19999999999999929</v>
      </c>
      <c r="O10" s="10">
        <f t="shared" si="2"/>
        <v>6.5</v>
      </c>
      <c r="P10" s="45">
        <v>-622.66999999999996</v>
      </c>
      <c r="Q10" s="45">
        <v>26.76</v>
      </c>
      <c r="S10" s="28"/>
    </row>
    <row r="11" spans="1:19" ht="16">
      <c r="A11" s="31" t="s">
        <v>127</v>
      </c>
      <c r="B11" s="53" t="s">
        <v>62</v>
      </c>
      <c r="C11" s="45">
        <v>-0.64</v>
      </c>
      <c r="D11" s="45">
        <v>0.31</v>
      </c>
      <c r="E11" s="45">
        <v>19.899999999999999</v>
      </c>
      <c r="F11" s="45">
        <v>9.81</v>
      </c>
      <c r="G11" s="44">
        <v>121.67</v>
      </c>
      <c r="H11" s="44">
        <v>11.68</v>
      </c>
      <c r="I11" s="44">
        <f t="shared" si="0"/>
        <v>5.84</v>
      </c>
      <c r="J11" s="10" t="s">
        <v>186</v>
      </c>
      <c r="K11" s="10">
        <v>227.28</v>
      </c>
      <c r="L11" s="45">
        <v>6.8</v>
      </c>
      <c r="M11" s="45">
        <v>6</v>
      </c>
      <c r="N11" s="10">
        <f t="shared" si="1"/>
        <v>-0.79999999999999982</v>
      </c>
      <c r="O11" s="10">
        <f t="shared" si="2"/>
        <v>6.4</v>
      </c>
      <c r="P11" s="45">
        <v>-604.33000000000004</v>
      </c>
      <c r="Q11" s="45">
        <v>15.04</v>
      </c>
      <c r="S11" s="28"/>
    </row>
    <row r="12" spans="1:19" ht="16">
      <c r="A12" s="31" t="s">
        <v>118</v>
      </c>
      <c r="B12" s="53" t="s">
        <v>52</v>
      </c>
      <c r="C12" s="45">
        <v>2.0299999999999998</v>
      </c>
      <c r="D12" s="45">
        <v>0.39</v>
      </c>
      <c r="E12" s="45">
        <v>0.7</v>
      </c>
      <c r="F12" s="45">
        <v>10.41</v>
      </c>
      <c r="G12" s="44">
        <v>46.33</v>
      </c>
      <c r="H12" s="44">
        <v>18.04</v>
      </c>
      <c r="I12" s="44">
        <f t="shared" si="0"/>
        <v>9.02</v>
      </c>
      <c r="J12" s="10" t="s">
        <v>187</v>
      </c>
      <c r="K12" s="10">
        <v>306.36</v>
      </c>
      <c r="L12" s="45">
        <v>3.7</v>
      </c>
      <c r="M12" s="45">
        <v>3.8</v>
      </c>
      <c r="N12" s="10">
        <f t="shared" si="1"/>
        <v>9.9999999999999645E-2</v>
      </c>
      <c r="O12" s="10">
        <f t="shared" si="2"/>
        <v>3.75</v>
      </c>
      <c r="P12" s="45">
        <v>-543</v>
      </c>
      <c r="Q12" s="45">
        <v>11.36</v>
      </c>
      <c r="S12" s="28"/>
    </row>
    <row r="13" spans="1:19" ht="16">
      <c r="A13" s="31" t="s">
        <v>146</v>
      </c>
      <c r="B13" s="53" t="s">
        <v>247</v>
      </c>
      <c r="C13" s="45">
        <v>2.35</v>
      </c>
      <c r="D13" s="45">
        <v>0.77</v>
      </c>
      <c r="E13" s="45">
        <v>14.28</v>
      </c>
      <c r="F13" s="45">
        <v>10.41</v>
      </c>
      <c r="G13" s="44">
        <v>113.67</v>
      </c>
      <c r="H13" s="44">
        <v>8.74</v>
      </c>
      <c r="I13" s="44">
        <f t="shared" si="0"/>
        <v>4.37</v>
      </c>
      <c r="J13" s="10" t="s">
        <v>181</v>
      </c>
      <c r="K13" s="10">
        <v>161.25</v>
      </c>
      <c r="L13" s="45">
        <v>4.5</v>
      </c>
      <c r="M13" s="45">
        <v>5.0999999999999996</v>
      </c>
      <c r="N13" s="10">
        <f t="shared" si="1"/>
        <v>0.59999999999999964</v>
      </c>
      <c r="O13" s="10">
        <f t="shared" si="2"/>
        <v>4.8</v>
      </c>
      <c r="P13" s="45">
        <v>-626</v>
      </c>
      <c r="Q13" s="45">
        <v>18.52</v>
      </c>
      <c r="S13" s="28"/>
    </row>
    <row r="14" spans="1:19" ht="16">
      <c r="A14" s="31" t="s">
        <v>106</v>
      </c>
      <c r="B14" s="53" t="s">
        <v>39</v>
      </c>
      <c r="C14" s="45">
        <v>7.04</v>
      </c>
      <c r="D14" s="45">
        <v>1.43</v>
      </c>
      <c r="E14" s="45">
        <v>59.7</v>
      </c>
      <c r="F14" s="45">
        <v>15.35</v>
      </c>
      <c r="G14" s="44">
        <v>109</v>
      </c>
      <c r="H14" s="44">
        <v>63.21</v>
      </c>
      <c r="I14" s="44">
        <f t="shared" si="0"/>
        <v>31.605</v>
      </c>
      <c r="J14" s="10" t="s">
        <v>181</v>
      </c>
      <c r="K14" s="10">
        <v>114.17</v>
      </c>
      <c r="L14" s="45">
        <v>6.5</v>
      </c>
      <c r="M14" s="45">
        <v>6.5</v>
      </c>
      <c r="N14" s="10">
        <f t="shared" si="1"/>
        <v>0</v>
      </c>
      <c r="O14" s="10">
        <f t="shared" si="2"/>
        <v>6.5</v>
      </c>
      <c r="P14" s="45">
        <v>-609</v>
      </c>
      <c r="Q14" s="45">
        <v>41.61</v>
      </c>
      <c r="S14" s="28"/>
    </row>
    <row r="15" spans="1:19" ht="16">
      <c r="A15" s="31" t="s">
        <v>96</v>
      </c>
      <c r="B15" s="53" t="s">
        <v>26</v>
      </c>
      <c r="C15" s="45">
        <v>12.16</v>
      </c>
      <c r="D15" s="45">
        <v>3.05</v>
      </c>
      <c r="E15" s="45">
        <v>86.92</v>
      </c>
      <c r="F15" s="45">
        <v>5.29</v>
      </c>
      <c r="G15" s="44">
        <v>29.33</v>
      </c>
      <c r="H15" s="44">
        <v>4.93</v>
      </c>
      <c r="I15" s="44">
        <f t="shared" si="0"/>
        <v>2.4649999999999999</v>
      </c>
      <c r="J15" s="10" t="s">
        <v>181</v>
      </c>
      <c r="K15" s="10">
        <v>150.19999999999999</v>
      </c>
      <c r="L15" s="45">
        <v>5.6</v>
      </c>
      <c r="M15" s="45">
        <v>5.8</v>
      </c>
      <c r="N15" s="10">
        <f t="shared" si="1"/>
        <v>0.20000000000000018</v>
      </c>
      <c r="O15" s="10">
        <f t="shared" si="2"/>
        <v>5.6999999999999993</v>
      </c>
      <c r="P15" s="45">
        <v>-523.33000000000004</v>
      </c>
      <c r="Q15" s="45">
        <v>9.8699999999999992</v>
      </c>
      <c r="S15" s="28"/>
    </row>
    <row r="16" spans="1:19" ht="16">
      <c r="A16" s="31" t="s">
        <v>248</v>
      </c>
      <c r="B16" s="53" t="s">
        <v>249</v>
      </c>
      <c r="C16" s="45">
        <v>10.76</v>
      </c>
      <c r="D16" s="45">
        <v>0.32</v>
      </c>
      <c r="E16" s="45">
        <v>51.05</v>
      </c>
      <c r="F16" s="45">
        <v>2.39</v>
      </c>
      <c r="G16" s="44">
        <v>40</v>
      </c>
      <c r="H16" s="44">
        <v>16.97</v>
      </c>
      <c r="I16" s="44">
        <f t="shared" si="0"/>
        <v>8.4849999999999994</v>
      </c>
      <c r="J16" s="10" t="s">
        <v>180</v>
      </c>
      <c r="K16" s="10">
        <v>176.17</v>
      </c>
      <c r="L16" s="45">
        <v>5.3</v>
      </c>
      <c r="M16" s="45">
        <v>5</v>
      </c>
      <c r="N16" s="10">
        <f t="shared" si="1"/>
        <v>-0.29999999999999982</v>
      </c>
      <c r="O16" s="10">
        <f t="shared" si="2"/>
        <v>5.15</v>
      </c>
      <c r="P16" s="45">
        <v>-514.5</v>
      </c>
      <c r="Q16" s="45">
        <v>36.06</v>
      </c>
      <c r="S16" s="28"/>
    </row>
    <row r="17" spans="1:19" ht="16">
      <c r="A17" s="31" t="s">
        <v>107</v>
      </c>
      <c r="B17" s="53" t="s">
        <v>40</v>
      </c>
      <c r="C17" s="45">
        <v>13.18</v>
      </c>
      <c r="D17" s="45">
        <v>3.41</v>
      </c>
      <c r="E17" s="45">
        <v>90.65</v>
      </c>
      <c r="F17" s="45">
        <v>5.64</v>
      </c>
      <c r="G17" s="44">
        <v>65</v>
      </c>
      <c r="H17" s="44">
        <v>11.53</v>
      </c>
      <c r="I17" s="44">
        <f t="shared" si="0"/>
        <v>5.7649999999999997</v>
      </c>
      <c r="J17" s="10" t="s">
        <v>181</v>
      </c>
      <c r="K17" s="10">
        <v>111.16</v>
      </c>
      <c r="L17" s="45">
        <v>5.8</v>
      </c>
      <c r="M17" s="45">
        <v>5.8</v>
      </c>
      <c r="N17" s="10">
        <f t="shared" si="1"/>
        <v>0</v>
      </c>
      <c r="O17" s="10">
        <f t="shared" si="2"/>
        <v>5.8</v>
      </c>
      <c r="P17" s="45">
        <v>-547</v>
      </c>
      <c r="Q17" s="45">
        <v>12</v>
      </c>
      <c r="S17" s="28"/>
    </row>
    <row r="18" spans="1:19" ht="19">
      <c r="A18" s="31" t="s">
        <v>124</v>
      </c>
      <c r="B18" s="53" t="s">
        <v>59</v>
      </c>
      <c r="C18" s="45">
        <v>13.64</v>
      </c>
      <c r="D18" s="45">
        <v>0.1</v>
      </c>
      <c r="E18" s="45">
        <v>85.72</v>
      </c>
      <c r="F18" s="45">
        <v>0.49</v>
      </c>
      <c r="G18" s="44">
        <v>20.329999999999998</v>
      </c>
      <c r="H18" s="44">
        <v>3.51</v>
      </c>
      <c r="I18" s="44">
        <f t="shared" si="0"/>
        <v>1.7549999999999999</v>
      </c>
      <c r="J18" s="10" t="s">
        <v>181</v>
      </c>
      <c r="K18" s="10">
        <v>112.15</v>
      </c>
      <c r="L18" s="45">
        <v>5</v>
      </c>
      <c r="M18" s="45">
        <v>5.4</v>
      </c>
      <c r="N18" s="10">
        <f t="shared" si="1"/>
        <v>0.40000000000000036</v>
      </c>
      <c r="O18" s="10">
        <f t="shared" si="2"/>
        <v>5.2</v>
      </c>
      <c r="P18" s="45">
        <v>-511.67</v>
      </c>
      <c r="Q18" s="45">
        <v>8.33</v>
      </c>
      <c r="S18" s="34"/>
    </row>
    <row r="19" spans="1:19" ht="19">
      <c r="A19" s="31" t="s">
        <v>102</v>
      </c>
      <c r="B19" s="53" t="s">
        <v>34</v>
      </c>
      <c r="C19" s="45">
        <v>-1.4</v>
      </c>
      <c r="D19" s="45">
        <v>0.43</v>
      </c>
      <c r="E19" s="45">
        <v>-40.65</v>
      </c>
      <c r="F19" s="45">
        <v>51.93</v>
      </c>
      <c r="G19" s="44">
        <v>73.67</v>
      </c>
      <c r="H19" s="44">
        <v>21.39</v>
      </c>
      <c r="I19" s="44">
        <f t="shared" si="0"/>
        <v>10.695</v>
      </c>
      <c r="J19" s="10" t="s">
        <v>180</v>
      </c>
      <c r="K19" s="10">
        <v>123.11</v>
      </c>
      <c r="L19" s="45">
        <v>4.0999999999999996</v>
      </c>
      <c r="M19" s="45">
        <v>4.2</v>
      </c>
      <c r="N19" s="10">
        <f t="shared" si="1"/>
        <v>0.10000000000000053</v>
      </c>
      <c r="O19" s="10">
        <f t="shared" si="2"/>
        <v>4.1500000000000004</v>
      </c>
      <c r="P19" s="45">
        <v>-567.33000000000004</v>
      </c>
      <c r="Q19" s="45">
        <v>17.39</v>
      </c>
      <c r="S19" s="34"/>
    </row>
    <row r="20" spans="1:19" ht="19">
      <c r="A20" s="31" t="s">
        <v>94</v>
      </c>
      <c r="B20" s="53" t="s">
        <v>250</v>
      </c>
      <c r="C20" s="45">
        <v>1.49</v>
      </c>
      <c r="D20" s="45">
        <v>1.43</v>
      </c>
      <c r="E20" s="45">
        <v>-534.6</v>
      </c>
      <c r="F20" s="45">
        <v>93.39</v>
      </c>
      <c r="G20" s="45"/>
      <c r="H20" s="45"/>
      <c r="I20" s="44"/>
      <c r="J20" s="10" t="s">
        <v>179</v>
      </c>
      <c r="K20" s="10">
        <v>150.25</v>
      </c>
      <c r="L20" s="45">
        <v>3</v>
      </c>
      <c r="M20" s="45">
        <v>3.2</v>
      </c>
      <c r="N20" s="10">
        <f t="shared" si="1"/>
        <v>0.20000000000000018</v>
      </c>
      <c r="O20" s="10">
        <f t="shared" si="2"/>
        <v>3.1</v>
      </c>
      <c r="P20" s="45">
        <v>-603.5</v>
      </c>
      <c r="Q20" s="45">
        <v>9.19</v>
      </c>
      <c r="S20" s="34"/>
    </row>
    <row r="21" spans="1:19" ht="19">
      <c r="A21" s="31" t="s">
        <v>103</v>
      </c>
      <c r="B21" s="53" t="s">
        <v>35</v>
      </c>
      <c r="C21" s="45">
        <v>2.16</v>
      </c>
      <c r="D21" s="45">
        <v>1.81</v>
      </c>
      <c r="E21" s="45">
        <v>8.93</v>
      </c>
      <c r="F21" s="45">
        <v>54.27</v>
      </c>
      <c r="G21" s="44">
        <v>147.66999999999999</v>
      </c>
      <c r="H21" s="44">
        <v>45</v>
      </c>
      <c r="I21" s="44">
        <f t="shared" si="0"/>
        <v>22.5</v>
      </c>
      <c r="J21" s="10" t="s">
        <v>179</v>
      </c>
      <c r="K21" s="10">
        <v>84.08</v>
      </c>
      <c r="L21" s="45">
        <v>6</v>
      </c>
      <c r="M21" s="45">
        <v>6.7</v>
      </c>
      <c r="N21" s="10">
        <f t="shared" si="1"/>
        <v>0.70000000000000018</v>
      </c>
      <c r="O21" s="10">
        <f t="shared" si="2"/>
        <v>6.35</v>
      </c>
      <c r="P21" s="45">
        <v>-638.66999999999996</v>
      </c>
      <c r="Q21" s="45">
        <v>56.16</v>
      </c>
      <c r="S21" s="34"/>
    </row>
    <row r="22" spans="1:19" ht="16">
      <c r="A22" s="31" t="s">
        <v>149</v>
      </c>
      <c r="B22" s="53" t="s">
        <v>38</v>
      </c>
      <c r="C22" s="45">
        <v>-2.68</v>
      </c>
      <c r="D22" s="45">
        <v>0.28999999999999998</v>
      </c>
      <c r="E22" s="45">
        <v>-66.53</v>
      </c>
      <c r="F22" s="45">
        <v>16.760000000000002</v>
      </c>
      <c r="G22" s="44">
        <v>34.33</v>
      </c>
      <c r="H22" s="44">
        <v>21.57</v>
      </c>
      <c r="I22" s="44">
        <f t="shared" si="0"/>
        <v>10.785</v>
      </c>
      <c r="J22" s="10" t="s">
        <v>180</v>
      </c>
      <c r="K22" s="10">
        <v>128.09</v>
      </c>
      <c r="L22" s="45">
        <v>3.7</v>
      </c>
      <c r="M22" s="45">
        <v>3.8</v>
      </c>
      <c r="N22" s="10">
        <f t="shared" si="1"/>
        <v>9.9999999999999645E-2</v>
      </c>
      <c r="O22" s="10">
        <f t="shared" si="2"/>
        <v>3.75</v>
      </c>
      <c r="P22" s="45">
        <v>-525.33000000000004</v>
      </c>
      <c r="Q22" s="45">
        <v>21.46</v>
      </c>
      <c r="S22" s="28"/>
    </row>
    <row r="23" spans="1:19" ht="16">
      <c r="A23" s="31" t="s">
        <v>104</v>
      </c>
      <c r="B23" s="53" t="s">
        <v>36</v>
      </c>
      <c r="C23" s="45">
        <v>12.7</v>
      </c>
      <c r="D23" s="45">
        <v>1.68</v>
      </c>
      <c r="E23" s="45">
        <v>79.849999999999994</v>
      </c>
      <c r="F23" s="45">
        <v>9.0399999999999991</v>
      </c>
      <c r="G23" s="44">
        <v>22.5</v>
      </c>
      <c r="H23" s="44">
        <v>3.7</v>
      </c>
      <c r="I23" s="44">
        <f t="shared" si="0"/>
        <v>1.85</v>
      </c>
      <c r="J23" s="10" t="s">
        <v>181</v>
      </c>
      <c r="K23" s="10">
        <v>116.14</v>
      </c>
      <c r="L23" s="45">
        <v>5.4</v>
      </c>
      <c r="M23" s="45">
        <v>5.5</v>
      </c>
      <c r="N23" s="10">
        <f t="shared" si="1"/>
        <v>9.9999999999999645E-2</v>
      </c>
      <c r="O23" s="10">
        <f t="shared" si="2"/>
        <v>5.45</v>
      </c>
      <c r="P23" s="45">
        <v>-486</v>
      </c>
      <c r="Q23" s="45">
        <v>5.03</v>
      </c>
      <c r="S23" s="28"/>
    </row>
    <row r="24" spans="1:19" ht="16">
      <c r="A24" s="31" t="s">
        <v>140</v>
      </c>
      <c r="B24" s="53" t="s">
        <v>79</v>
      </c>
      <c r="C24" s="45">
        <v>0.72</v>
      </c>
      <c r="D24" s="45">
        <v>0.43</v>
      </c>
      <c r="E24" s="45">
        <v>-100.84</v>
      </c>
      <c r="F24" s="45">
        <v>8.65</v>
      </c>
      <c r="G24" s="44">
        <v>37.5</v>
      </c>
      <c r="H24" s="44">
        <v>10.61</v>
      </c>
      <c r="I24" s="44">
        <f t="shared" si="0"/>
        <v>5.3049999999999997</v>
      </c>
      <c r="J24" s="10" t="s">
        <v>183</v>
      </c>
      <c r="K24" s="10">
        <v>106.14</v>
      </c>
      <c r="L24" s="45">
        <v>3.4</v>
      </c>
      <c r="M24" s="45">
        <v>3.5</v>
      </c>
      <c r="N24" s="10">
        <f t="shared" si="1"/>
        <v>0.10000000000000009</v>
      </c>
      <c r="O24" s="10">
        <f t="shared" si="2"/>
        <v>3.45</v>
      </c>
      <c r="P24" s="45">
        <v>-527</v>
      </c>
      <c r="Q24" s="45">
        <v>22.63</v>
      </c>
      <c r="S24" s="28"/>
    </row>
    <row r="25" spans="1:19" ht="16">
      <c r="A25" s="31" t="s">
        <v>98</v>
      </c>
      <c r="B25" s="53" t="s">
        <v>30</v>
      </c>
      <c r="C25" s="45">
        <v>1.28</v>
      </c>
      <c r="D25" s="45">
        <v>0.47</v>
      </c>
      <c r="E25" s="45">
        <v>26.51</v>
      </c>
      <c r="F25" s="45">
        <v>18.14</v>
      </c>
      <c r="G25" s="44">
        <v>34.33</v>
      </c>
      <c r="H25" s="44">
        <v>27.59</v>
      </c>
      <c r="I25" s="44">
        <f t="shared" si="0"/>
        <v>13.795</v>
      </c>
      <c r="J25" s="10" t="s">
        <v>180</v>
      </c>
      <c r="K25" s="10">
        <v>153.13999999999999</v>
      </c>
      <c r="L25" s="45">
        <v>5.5</v>
      </c>
      <c r="M25" s="45">
        <v>5.8</v>
      </c>
      <c r="N25" s="10">
        <f t="shared" si="1"/>
        <v>0.29999999999999982</v>
      </c>
      <c r="O25" s="10">
        <f t="shared" si="2"/>
        <v>5.65</v>
      </c>
      <c r="P25" s="45">
        <v>-523.33000000000004</v>
      </c>
      <c r="Q25" s="45">
        <v>25.72</v>
      </c>
      <c r="S25" s="28"/>
    </row>
    <row r="26" spans="1:19" ht="16">
      <c r="A26" s="31" t="s">
        <v>120</v>
      </c>
      <c r="B26" s="53" t="s">
        <v>54</v>
      </c>
      <c r="C26" s="45">
        <v>14.65</v>
      </c>
      <c r="D26" s="45">
        <v>0.28999999999999998</v>
      </c>
      <c r="E26" s="45">
        <v>57.81</v>
      </c>
      <c r="F26" s="45">
        <v>2.11</v>
      </c>
      <c r="G26" s="44">
        <v>85.33</v>
      </c>
      <c r="H26" s="44">
        <v>10.210000000000001</v>
      </c>
      <c r="I26" s="44">
        <f t="shared" si="0"/>
        <v>5.1050000000000004</v>
      </c>
      <c r="J26" s="10" t="s">
        <v>187</v>
      </c>
      <c r="K26" s="10">
        <v>154.19</v>
      </c>
      <c r="L26" s="45">
        <v>3.7</v>
      </c>
      <c r="M26" s="45">
        <v>3.8</v>
      </c>
      <c r="N26" s="10">
        <f t="shared" si="1"/>
        <v>9.9999999999999645E-2</v>
      </c>
      <c r="O26" s="10">
        <f t="shared" si="2"/>
        <v>3.75</v>
      </c>
      <c r="P26" s="45">
        <v>-585</v>
      </c>
      <c r="Q26" s="45">
        <v>1</v>
      </c>
      <c r="S26" s="28"/>
    </row>
    <row r="27" spans="1:19" ht="19">
      <c r="A27" s="31" t="s">
        <v>133</v>
      </c>
      <c r="B27" s="53" t="s">
        <v>251</v>
      </c>
      <c r="C27" s="45">
        <v>3.1</v>
      </c>
      <c r="D27" s="45">
        <v>1.6</v>
      </c>
      <c r="E27" s="45">
        <v>-156.61000000000001</v>
      </c>
      <c r="F27" s="45">
        <v>117.75</v>
      </c>
      <c r="G27" s="44">
        <v>13</v>
      </c>
      <c r="H27" s="44">
        <v>3.61</v>
      </c>
      <c r="I27" s="44">
        <f t="shared" si="0"/>
        <v>1.8049999999999999</v>
      </c>
      <c r="J27" s="10" t="s">
        <v>186</v>
      </c>
      <c r="K27" s="10">
        <v>155.16999999999999</v>
      </c>
      <c r="L27" s="45">
        <v>3.2</v>
      </c>
      <c r="M27" s="45">
        <v>3.3</v>
      </c>
      <c r="N27" s="10">
        <f t="shared" si="1"/>
        <v>9.9999999999999645E-2</v>
      </c>
      <c r="O27" s="10">
        <f t="shared" si="2"/>
        <v>3.25</v>
      </c>
      <c r="P27" s="45">
        <v>-495.33</v>
      </c>
      <c r="Q27" s="45">
        <v>4.04</v>
      </c>
      <c r="S27" s="34"/>
    </row>
    <row r="28" spans="1:19" ht="16">
      <c r="A28" s="31" t="s">
        <v>112</v>
      </c>
      <c r="B28" s="53" t="s">
        <v>45</v>
      </c>
      <c r="C28" s="45">
        <v>3.47</v>
      </c>
      <c r="D28" s="45">
        <v>0.36</v>
      </c>
      <c r="E28" s="45">
        <v>67.09</v>
      </c>
      <c r="F28" s="45">
        <v>2.59</v>
      </c>
      <c r="G28" s="44">
        <v>34.33</v>
      </c>
      <c r="H28" s="44">
        <v>23.86</v>
      </c>
      <c r="I28" s="44">
        <f t="shared" si="0"/>
        <v>11.93</v>
      </c>
      <c r="J28" s="10" t="s">
        <v>179</v>
      </c>
      <c r="K28" s="10">
        <v>144.16999999999999</v>
      </c>
      <c r="L28" s="45">
        <v>6.2</v>
      </c>
      <c r="M28" s="45">
        <v>6.1</v>
      </c>
      <c r="N28" s="10">
        <f t="shared" si="1"/>
        <v>-0.10000000000000053</v>
      </c>
      <c r="O28" s="10">
        <f t="shared" si="2"/>
        <v>6.15</v>
      </c>
      <c r="P28" s="45">
        <v>-537</v>
      </c>
      <c r="Q28" s="45">
        <v>33.78</v>
      </c>
      <c r="S28" s="28"/>
    </row>
    <row r="29" spans="1:19" ht="16">
      <c r="A29" s="31" t="s">
        <v>109</v>
      </c>
      <c r="B29" s="53" t="s">
        <v>42</v>
      </c>
      <c r="C29" s="45">
        <v>8.85</v>
      </c>
      <c r="D29" s="45">
        <v>1.19</v>
      </c>
      <c r="E29" s="45">
        <v>89.03</v>
      </c>
      <c r="F29" s="45">
        <v>2.08</v>
      </c>
      <c r="G29" s="44">
        <v>71</v>
      </c>
      <c r="H29" s="44">
        <v>54.51</v>
      </c>
      <c r="I29" s="44">
        <f t="shared" si="0"/>
        <v>27.254999999999999</v>
      </c>
      <c r="J29" s="10" t="s">
        <v>180</v>
      </c>
      <c r="K29" s="10">
        <v>145.16</v>
      </c>
      <c r="L29" s="45">
        <v>6.2</v>
      </c>
      <c r="M29" s="45">
        <v>6.3</v>
      </c>
      <c r="N29" s="10">
        <f t="shared" si="1"/>
        <v>9.9999999999999645E-2</v>
      </c>
      <c r="O29" s="10">
        <f t="shared" si="2"/>
        <v>6.25</v>
      </c>
      <c r="P29" s="45">
        <v>-572</v>
      </c>
      <c r="Q29" s="45">
        <v>35.380000000000003</v>
      </c>
      <c r="S29" s="28"/>
    </row>
    <row r="30" spans="1:19" ht="16">
      <c r="A30" s="31" t="s">
        <v>252</v>
      </c>
      <c r="B30" s="53" t="s">
        <v>78</v>
      </c>
      <c r="C30" s="45">
        <v>14.88</v>
      </c>
      <c r="D30" s="45">
        <v>1.8</v>
      </c>
      <c r="E30" s="45">
        <v>93.67</v>
      </c>
      <c r="F30" s="45">
        <v>1.17</v>
      </c>
      <c r="G30" s="44">
        <v>148.33000000000001</v>
      </c>
      <c r="H30" s="44">
        <v>10.69</v>
      </c>
      <c r="I30" s="44">
        <f t="shared" si="0"/>
        <v>5.3449999999999998</v>
      </c>
      <c r="J30" s="10" t="s">
        <v>185</v>
      </c>
      <c r="K30" s="10">
        <v>164.29</v>
      </c>
      <c r="L30" s="45">
        <v>6.4</v>
      </c>
      <c r="M30" s="45">
        <v>6.5</v>
      </c>
      <c r="N30" s="10">
        <f t="shared" si="1"/>
        <v>9.9999999999999645E-2</v>
      </c>
      <c r="O30" s="10">
        <f t="shared" si="2"/>
        <v>6.45</v>
      </c>
      <c r="P30" s="45">
        <v>-636.33000000000004</v>
      </c>
      <c r="Q30" s="45">
        <v>24.54</v>
      </c>
      <c r="S30" s="28"/>
    </row>
    <row r="31" spans="1:19" ht="16">
      <c r="A31" s="31" t="s">
        <v>253</v>
      </c>
      <c r="B31" s="53" t="s">
        <v>57</v>
      </c>
      <c r="C31" s="45">
        <v>8.1199999999999992</v>
      </c>
      <c r="D31" s="45">
        <v>1.23</v>
      </c>
      <c r="E31" s="45">
        <v>66.67</v>
      </c>
      <c r="F31" s="45">
        <v>13.09</v>
      </c>
      <c r="G31" s="44">
        <v>36.67</v>
      </c>
      <c r="H31" s="44">
        <v>4.93</v>
      </c>
      <c r="I31" s="44">
        <f t="shared" si="0"/>
        <v>2.4649999999999999</v>
      </c>
      <c r="J31" s="10" t="s">
        <v>186</v>
      </c>
      <c r="K31" s="10">
        <v>349.41</v>
      </c>
      <c r="L31" s="45">
        <v>4.9000000000000004</v>
      </c>
      <c r="M31" s="45">
        <v>5</v>
      </c>
      <c r="N31" s="10">
        <f t="shared" si="1"/>
        <v>9.9999999999999645E-2</v>
      </c>
      <c r="O31" s="10">
        <f t="shared" si="2"/>
        <v>4.95</v>
      </c>
      <c r="P31" s="45">
        <v>-539.33000000000004</v>
      </c>
      <c r="Q31" s="45">
        <v>6.81</v>
      </c>
      <c r="S31" s="28"/>
    </row>
    <row r="32" spans="1:19" ht="16">
      <c r="A32" s="31" t="s">
        <v>122</v>
      </c>
      <c r="B32" s="53" t="s">
        <v>56</v>
      </c>
      <c r="C32" s="45">
        <v>-1.04</v>
      </c>
      <c r="D32" s="45">
        <v>0.55000000000000004</v>
      </c>
      <c r="E32" s="45">
        <v>-136.99</v>
      </c>
      <c r="F32" s="45">
        <v>74.989999999999995</v>
      </c>
      <c r="G32" s="44">
        <v>42.67</v>
      </c>
      <c r="H32" s="44">
        <v>26.58</v>
      </c>
      <c r="I32" s="44">
        <f t="shared" si="0"/>
        <v>13.29</v>
      </c>
      <c r="J32" s="10" t="s">
        <v>180</v>
      </c>
      <c r="K32" s="10">
        <v>137.13999999999999</v>
      </c>
      <c r="L32" s="45">
        <v>3.9</v>
      </c>
      <c r="M32" s="45">
        <v>4</v>
      </c>
      <c r="N32" s="10">
        <f t="shared" si="1"/>
        <v>0.10000000000000009</v>
      </c>
      <c r="O32" s="10">
        <f t="shared" si="2"/>
        <v>3.95</v>
      </c>
      <c r="P32" s="45">
        <v>-550.66999999999996</v>
      </c>
      <c r="Q32" s="45">
        <v>29.37</v>
      </c>
      <c r="S32" s="28"/>
    </row>
    <row r="33" spans="1:19" ht="16">
      <c r="A33" s="31" t="s">
        <v>159</v>
      </c>
      <c r="B33" s="53" t="s">
        <v>48</v>
      </c>
      <c r="C33" s="45">
        <v>2.4700000000000002</v>
      </c>
      <c r="D33" s="45">
        <v>0.77</v>
      </c>
      <c r="E33" s="45">
        <v>19.55</v>
      </c>
      <c r="F33" s="45">
        <v>4.22</v>
      </c>
      <c r="G33" s="44">
        <v>112.33</v>
      </c>
      <c r="H33" s="44">
        <v>10.41</v>
      </c>
      <c r="I33" s="44">
        <f t="shared" si="0"/>
        <v>5.2050000000000001</v>
      </c>
      <c r="J33" s="10" t="s">
        <v>180</v>
      </c>
      <c r="K33" s="10">
        <v>227.26</v>
      </c>
      <c r="L33" s="45">
        <v>5.5</v>
      </c>
      <c r="M33" s="45">
        <v>5.8</v>
      </c>
      <c r="N33" s="10">
        <f t="shared" si="1"/>
        <v>0.29999999999999982</v>
      </c>
      <c r="O33" s="10">
        <f t="shared" si="2"/>
        <v>5.65</v>
      </c>
      <c r="P33" s="45">
        <v>-623.33000000000004</v>
      </c>
      <c r="Q33" s="45">
        <v>8.14</v>
      </c>
      <c r="S33" s="28"/>
    </row>
    <row r="34" spans="1:19" ht="16">
      <c r="A34" s="31" t="s">
        <v>93</v>
      </c>
      <c r="B34" s="53" t="s">
        <v>23</v>
      </c>
      <c r="C34" s="45">
        <v>8.34</v>
      </c>
      <c r="D34" s="45">
        <v>3.74</v>
      </c>
      <c r="E34" s="45">
        <v>64.209999999999994</v>
      </c>
      <c r="F34" s="45">
        <v>10.96</v>
      </c>
      <c r="G34" s="44">
        <v>25</v>
      </c>
      <c r="H34" s="44">
        <v>8</v>
      </c>
      <c r="I34" s="44">
        <f t="shared" si="0"/>
        <v>4</v>
      </c>
      <c r="J34" s="10" t="s">
        <v>179</v>
      </c>
      <c r="K34" s="10">
        <v>119.12</v>
      </c>
      <c r="L34" s="45">
        <v>5.7</v>
      </c>
      <c r="M34" s="45">
        <v>5.8</v>
      </c>
      <c r="N34" s="10">
        <f t="shared" si="1"/>
        <v>9.9999999999999645E-2</v>
      </c>
      <c r="O34" s="10">
        <f t="shared" si="2"/>
        <v>5.75</v>
      </c>
      <c r="P34" s="45">
        <v>-499.67</v>
      </c>
      <c r="Q34" s="45">
        <v>5.03</v>
      </c>
      <c r="S34" s="28"/>
    </row>
    <row r="35" spans="1:19" ht="16">
      <c r="A35" s="31" t="s">
        <v>135</v>
      </c>
      <c r="B35" s="53" t="s">
        <v>254</v>
      </c>
      <c r="C35" s="45">
        <v>0.61</v>
      </c>
      <c r="D35" s="45">
        <v>1.2</v>
      </c>
      <c r="E35" s="45">
        <v>8.76</v>
      </c>
      <c r="F35" s="45">
        <v>27.9</v>
      </c>
      <c r="G35" s="44">
        <v>128.5</v>
      </c>
      <c r="H35" s="44">
        <v>54.45</v>
      </c>
      <c r="I35" s="44">
        <f t="shared" si="0"/>
        <v>27.225000000000001</v>
      </c>
      <c r="J35" s="10" t="s">
        <v>180</v>
      </c>
      <c r="K35" s="10">
        <v>371.81</v>
      </c>
      <c r="L35" s="45">
        <v>5.3</v>
      </c>
      <c r="M35" s="45">
        <v>6.1</v>
      </c>
      <c r="N35" s="10">
        <f t="shared" si="1"/>
        <v>0.79999999999999982</v>
      </c>
      <c r="O35" s="10">
        <f t="shared" si="2"/>
        <v>5.6999999999999993</v>
      </c>
      <c r="P35" s="45">
        <v>-621</v>
      </c>
      <c r="Q35" s="45">
        <v>36.770000000000003</v>
      </c>
      <c r="S35" s="28"/>
    </row>
    <row r="36" spans="1:19" ht="19">
      <c r="A36" s="31" t="s">
        <v>141</v>
      </c>
      <c r="B36" s="53" t="s">
        <v>80</v>
      </c>
      <c r="C36" s="45">
        <v>0.84</v>
      </c>
      <c r="D36" s="45">
        <v>0.28999999999999998</v>
      </c>
      <c r="E36" s="45">
        <v>6.26</v>
      </c>
      <c r="F36" s="45">
        <v>3.8</v>
      </c>
      <c r="G36" s="44">
        <v>81</v>
      </c>
      <c r="H36" s="44">
        <v>7.94</v>
      </c>
      <c r="I36" s="44">
        <f t="shared" si="0"/>
        <v>3.97</v>
      </c>
      <c r="J36" s="10" t="s">
        <v>189</v>
      </c>
      <c r="K36" s="10">
        <v>278.35000000000002</v>
      </c>
      <c r="L36" s="45">
        <v>5.7</v>
      </c>
      <c r="M36" s="45">
        <v>5.7</v>
      </c>
      <c r="N36" s="10">
        <f t="shared" si="1"/>
        <v>0</v>
      </c>
      <c r="O36" s="10">
        <f t="shared" si="2"/>
        <v>5.7</v>
      </c>
      <c r="P36" s="45">
        <v>-602.66999999999996</v>
      </c>
      <c r="Q36" s="45">
        <v>7.37</v>
      </c>
      <c r="S36" s="35"/>
    </row>
    <row r="37" spans="1:19" ht="16">
      <c r="A37" s="31" t="s">
        <v>99</v>
      </c>
      <c r="B37" s="53" t="s">
        <v>31</v>
      </c>
      <c r="C37" s="45">
        <v>-0.66</v>
      </c>
      <c r="D37" s="45">
        <v>0.53</v>
      </c>
      <c r="E37" s="45">
        <v>-5.41</v>
      </c>
      <c r="F37" s="45">
        <v>60.56</v>
      </c>
      <c r="G37" s="44">
        <v>96.67</v>
      </c>
      <c r="H37" s="44">
        <v>13.58</v>
      </c>
      <c r="I37" s="44">
        <f t="shared" si="0"/>
        <v>6.79</v>
      </c>
      <c r="J37" s="10" t="s">
        <v>180</v>
      </c>
      <c r="K37" s="10">
        <v>194.19</v>
      </c>
      <c r="L37" s="45">
        <v>6</v>
      </c>
      <c r="M37" s="45">
        <v>6.4</v>
      </c>
      <c r="N37" s="10">
        <f t="shared" si="1"/>
        <v>0.40000000000000036</v>
      </c>
      <c r="O37" s="10">
        <f t="shared" si="2"/>
        <v>6.2</v>
      </c>
      <c r="P37" s="45">
        <v>-585.66999999999996</v>
      </c>
      <c r="Q37" s="45">
        <v>15.01</v>
      </c>
      <c r="S37" s="28"/>
    </row>
    <row r="38" spans="1:19" ht="19">
      <c r="A38" s="31" t="s">
        <v>255</v>
      </c>
      <c r="B38" s="53" t="s">
        <v>88</v>
      </c>
      <c r="C38" s="45">
        <v>-1.96</v>
      </c>
      <c r="D38" s="45">
        <v>0.39</v>
      </c>
      <c r="E38" s="45">
        <v>-88.4</v>
      </c>
      <c r="F38" s="45">
        <v>15.94</v>
      </c>
      <c r="G38" s="44">
        <v>129</v>
      </c>
      <c r="H38" s="44">
        <v>12.29</v>
      </c>
      <c r="I38" s="44">
        <f t="shared" si="0"/>
        <v>6.1449999999999996</v>
      </c>
      <c r="J38" s="10" t="s">
        <v>182</v>
      </c>
      <c r="K38" s="10">
        <v>430.19</v>
      </c>
      <c r="L38" s="45">
        <v>5.7</v>
      </c>
      <c r="M38" s="45">
        <v>6</v>
      </c>
      <c r="N38" s="10">
        <f t="shared" si="1"/>
        <v>0.29999999999999982</v>
      </c>
      <c r="O38" s="10">
        <f t="shared" si="2"/>
        <v>5.85</v>
      </c>
      <c r="P38" s="45">
        <v>-627.33000000000004</v>
      </c>
      <c r="Q38" s="45">
        <v>11.59</v>
      </c>
      <c r="S38" s="35"/>
    </row>
    <row r="39" spans="1:19" ht="16">
      <c r="A39" s="31" t="s">
        <v>115</v>
      </c>
      <c r="B39" s="53" t="s">
        <v>49</v>
      </c>
      <c r="C39" s="45">
        <v>11.12</v>
      </c>
      <c r="D39" s="45">
        <v>0.19</v>
      </c>
      <c r="E39" s="45">
        <v>91.07</v>
      </c>
      <c r="F39" s="45">
        <v>5.31</v>
      </c>
      <c r="G39" s="44">
        <v>126.67</v>
      </c>
      <c r="H39" s="44">
        <v>12.34</v>
      </c>
      <c r="I39" s="44">
        <f t="shared" si="0"/>
        <v>6.17</v>
      </c>
      <c r="J39" s="10" t="s">
        <v>185</v>
      </c>
      <c r="K39" s="10">
        <v>120.2</v>
      </c>
      <c r="L39" s="45">
        <v>5.6</v>
      </c>
      <c r="M39" s="45">
        <v>5.6</v>
      </c>
      <c r="N39" s="10">
        <f t="shared" si="1"/>
        <v>0</v>
      </c>
      <c r="O39" s="10">
        <f t="shared" si="2"/>
        <v>5.6</v>
      </c>
      <c r="P39" s="45">
        <v>-613.33000000000004</v>
      </c>
      <c r="Q39" s="45">
        <v>22.55</v>
      </c>
      <c r="S39" s="28"/>
    </row>
    <row r="40" spans="1:19" ht="16">
      <c r="A40" s="31" t="s">
        <v>256</v>
      </c>
      <c r="B40" s="53" t="s">
        <v>86</v>
      </c>
      <c r="C40" s="45">
        <v>1.24</v>
      </c>
      <c r="D40" s="45">
        <v>0.43</v>
      </c>
      <c r="E40" s="45">
        <v>10.06</v>
      </c>
      <c r="F40" s="45">
        <v>24.62</v>
      </c>
      <c r="G40" s="44">
        <v>124.33</v>
      </c>
      <c r="H40" s="44">
        <v>60.68</v>
      </c>
      <c r="I40" s="44">
        <f t="shared" si="0"/>
        <v>30.34</v>
      </c>
      <c r="J40" s="10" t="s">
        <v>183</v>
      </c>
      <c r="K40" s="10">
        <v>288.38</v>
      </c>
      <c r="L40" s="45">
        <v>5.8</v>
      </c>
      <c r="M40" s="45">
        <v>5.9</v>
      </c>
      <c r="N40" s="10">
        <f t="shared" si="1"/>
        <v>0.10000000000000053</v>
      </c>
      <c r="O40" s="10">
        <f t="shared" si="2"/>
        <v>5.85</v>
      </c>
      <c r="P40" s="45">
        <v>-590</v>
      </c>
      <c r="Q40" s="45">
        <v>36.06</v>
      </c>
      <c r="S40" s="28"/>
    </row>
    <row r="41" spans="1:19" ht="16">
      <c r="A41" s="31" t="s">
        <v>137</v>
      </c>
      <c r="B41" s="53" t="s">
        <v>75</v>
      </c>
      <c r="C41" s="45">
        <v>4.05</v>
      </c>
      <c r="D41" s="45">
        <v>1.1599999999999999</v>
      </c>
      <c r="E41" s="45">
        <v>-18.57</v>
      </c>
      <c r="F41" s="45">
        <v>21.21</v>
      </c>
      <c r="G41" s="44">
        <v>92.33</v>
      </c>
      <c r="H41" s="44">
        <v>6.81</v>
      </c>
      <c r="I41" s="44">
        <f t="shared" si="0"/>
        <v>3.4049999999999998</v>
      </c>
      <c r="J41" s="10" t="s">
        <v>189</v>
      </c>
      <c r="K41" s="10">
        <v>61.08</v>
      </c>
      <c r="L41" s="45">
        <v>10.199999999999999</v>
      </c>
      <c r="M41" s="45">
        <v>9</v>
      </c>
      <c r="N41" s="10">
        <f t="shared" si="1"/>
        <v>-1.1999999999999993</v>
      </c>
      <c r="O41" s="10">
        <f t="shared" si="2"/>
        <v>9.6</v>
      </c>
      <c r="P41" s="45">
        <v>-591.33000000000004</v>
      </c>
      <c r="Q41" s="45">
        <v>10.69</v>
      </c>
      <c r="S41" s="28"/>
    </row>
    <row r="42" spans="1:19" ht="16">
      <c r="A42" s="31" t="s">
        <v>136</v>
      </c>
      <c r="B42" s="53" t="s">
        <v>74</v>
      </c>
      <c r="C42" s="45">
        <v>0.41</v>
      </c>
      <c r="D42" s="45">
        <v>0.55000000000000004</v>
      </c>
      <c r="E42" s="45">
        <v>17.3</v>
      </c>
      <c r="F42" s="45">
        <v>5.74</v>
      </c>
      <c r="G42" s="44">
        <v>116</v>
      </c>
      <c r="H42" s="44">
        <v>10.15</v>
      </c>
      <c r="I42" s="44">
        <f t="shared" si="0"/>
        <v>5.0750000000000002</v>
      </c>
      <c r="J42" s="10" t="s">
        <v>185</v>
      </c>
      <c r="K42" s="10">
        <v>118.16</v>
      </c>
      <c r="L42" s="45">
        <v>5.8</v>
      </c>
      <c r="M42" s="45">
        <v>5.9</v>
      </c>
      <c r="N42" s="10">
        <f t="shared" si="1"/>
        <v>0.10000000000000053</v>
      </c>
      <c r="O42" s="10">
        <f t="shared" si="2"/>
        <v>5.85</v>
      </c>
      <c r="P42" s="45">
        <v>-610.66999999999996</v>
      </c>
      <c r="Q42" s="45">
        <v>16.010000000000002</v>
      </c>
      <c r="S42" s="28"/>
    </row>
    <row r="43" spans="1:19" ht="16">
      <c r="A43" s="31" t="s">
        <v>147</v>
      </c>
      <c r="B43" s="53" t="s">
        <v>91</v>
      </c>
      <c r="C43" s="45">
        <v>-1.1599999999999999</v>
      </c>
      <c r="D43" s="45">
        <v>0.11</v>
      </c>
      <c r="E43" s="45">
        <v>-67.44</v>
      </c>
      <c r="F43" s="45">
        <v>65.58</v>
      </c>
      <c r="G43" s="44">
        <v>65.33</v>
      </c>
      <c r="H43" s="44">
        <v>52.73</v>
      </c>
      <c r="I43" s="44">
        <f t="shared" si="0"/>
        <v>26.364999999999998</v>
      </c>
      <c r="J43" s="10" t="s">
        <v>178</v>
      </c>
      <c r="K43" s="10">
        <v>140.19</v>
      </c>
      <c r="L43" s="45">
        <v>6.4</v>
      </c>
      <c r="M43" s="45">
        <v>6.6</v>
      </c>
      <c r="N43" s="10">
        <f t="shared" si="1"/>
        <v>0.19999999999999929</v>
      </c>
      <c r="O43" s="10">
        <f t="shared" si="2"/>
        <v>6.5</v>
      </c>
      <c r="P43" s="45">
        <v>-575.66999999999996</v>
      </c>
      <c r="Q43" s="45">
        <v>39.5</v>
      </c>
      <c r="S43" s="28"/>
    </row>
    <row r="44" spans="1:19" ht="16">
      <c r="A44" s="54" t="s">
        <v>257</v>
      </c>
      <c r="B44" s="53" t="s">
        <v>85</v>
      </c>
      <c r="C44" s="45">
        <v>-0.3</v>
      </c>
      <c r="D44" s="45">
        <v>0.26</v>
      </c>
      <c r="E44" s="45">
        <v>-91.63</v>
      </c>
      <c r="F44" s="45">
        <v>6.86</v>
      </c>
      <c r="G44" s="44">
        <v>111.67</v>
      </c>
      <c r="H44" s="44">
        <v>32.35</v>
      </c>
      <c r="I44" s="44">
        <f t="shared" si="0"/>
        <v>16.175000000000001</v>
      </c>
      <c r="J44" s="10" t="s">
        <v>182</v>
      </c>
      <c r="K44" s="10">
        <v>428.14</v>
      </c>
      <c r="L44" s="45">
        <v>4.5999999999999996</v>
      </c>
      <c r="M44" s="45">
        <v>4.3</v>
      </c>
      <c r="N44" s="10">
        <f t="shared" si="1"/>
        <v>-0.29999999999999982</v>
      </c>
      <c r="O44" s="10">
        <f t="shared" si="2"/>
        <v>4.4499999999999993</v>
      </c>
      <c r="P44" s="45">
        <v>-603.33000000000004</v>
      </c>
      <c r="Q44" s="45">
        <v>30.66</v>
      </c>
      <c r="S44" s="28"/>
    </row>
    <row r="45" spans="1:19" ht="16">
      <c r="A45" s="31" t="s">
        <v>128</v>
      </c>
      <c r="B45" s="53" t="s">
        <v>63</v>
      </c>
      <c r="C45" s="45">
        <v>-3.41</v>
      </c>
      <c r="D45" s="45">
        <v>0.66</v>
      </c>
      <c r="E45" s="45">
        <v>-127.99</v>
      </c>
      <c r="F45" s="45">
        <v>24.61</v>
      </c>
      <c r="G45" s="44">
        <v>38.67</v>
      </c>
      <c r="H45" s="44">
        <v>3.06</v>
      </c>
      <c r="I45" s="44">
        <f t="shared" si="0"/>
        <v>1.53</v>
      </c>
      <c r="J45" s="10" t="s">
        <v>180</v>
      </c>
      <c r="K45" s="10">
        <v>123.11</v>
      </c>
      <c r="L45" s="45">
        <v>3.8</v>
      </c>
      <c r="M45" s="45">
        <v>4</v>
      </c>
      <c r="N45" s="10">
        <f t="shared" si="1"/>
        <v>0.20000000000000018</v>
      </c>
      <c r="O45" s="10">
        <f t="shared" si="2"/>
        <v>3.9</v>
      </c>
      <c r="P45" s="45">
        <v>-526.66999999999996</v>
      </c>
      <c r="Q45" s="45">
        <v>7.64</v>
      </c>
      <c r="S45" s="28"/>
    </row>
    <row r="46" spans="1:19" ht="16">
      <c r="A46" s="31" t="s">
        <v>126</v>
      </c>
      <c r="B46" s="53" t="s">
        <v>61</v>
      </c>
      <c r="C46" s="45">
        <v>-1.44</v>
      </c>
      <c r="D46" s="45">
        <v>0.48</v>
      </c>
      <c r="E46" s="45">
        <v>28.48</v>
      </c>
      <c r="F46" s="45">
        <v>21.38</v>
      </c>
      <c r="G46" s="44">
        <v>70</v>
      </c>
      <c r="H46" s="44">
        <v>1</v>
      </c>
      <c r="I46" s="44">
        <f t="shared" si="0"/>
        <v>0.5</v>
      </c>
      <c r="J46" s="10" t="s">
        <v>180</v>
      </c>
      <c r="K46" s="10">
        <v>204.23</v>
      </c>
      <c r="L46" s="45">
        <v>5.4</v>
      </c>
      <c r="M46" s="45">
        <v>5.8</v>
      </c>
      <c r="N46" s="10">
        <f t="shared" si="1"/>
        <v>0.39999999999999947</v>
      </c>
      <c r="O46" s="10">
        <f t="shared" si="2"/>
        <v>5.6</v>
      </c>
      <c r="P46" s="45">
        <v>-574.66999999999996</v>
      </c>
      <c r="Q46" s="45">
        <v>5.86</v>
      </c>
      <c r="S46" s="28"/>
    </row>
    <row r="47" spans="1:19" ht="16">
      <c r="A47" s="31" t="s">
        <v>207</v>
      </c>
      <c r="B47" s="53" t="s">
        <v>84</v>
      </c>
      <c r="C47" s="45">
        <v>13.75</v>
      </c>
      <c r="D47" s="45">
        <v>2.29</v>
      </c>
      <c r="E47" s="45">
        <v>91.18</v>
      </c>
      <c r="F47" s="45">
        <v>3.5</v>
      </c>
      <c r="G47" s="44">
        <v>77.400000000000006</v>
      </c>
      <c r="H47" s="44">
        <v>18.96</v>
      </c>
      <c r="I47" s="44">
        <f t="shared" si="0"/>
        <v>9.48</v>
      </c>
      <c r="J47" s="10" t="s">
        <v>181</v>
      </c>
      <c r="K47" s="10">
        <v>167.25</v>
      </c>
      <c r="L47" s="45">
        <v>4.9000000000000004</v>
      </c>
      <c r="M47" s="45">
        <v>4.9000000000000004</v>
      </c>
      <c r="N47" s="10">
        <f t="shared" si="1"/>
        <v>0</v>
      </c>
      <c r="O47" s="10">
        <f t="shared" si="2"/>
        <v>4.9000000000000004</v>
      </c>
      <c r="P47" s="45">
        <v>-550.4</v>
      </c>
      <c r="Q47" s="45">
        <v>11.82</v>
      </c>
      <c r="S47" s="28"/>
    </row>
    <row r="48" spans="1:19" ht="16">
      <c r="A48" s="31" t="s">
        <v>125</v>
      </c>
      <c r="B48" s="53" t="s">
        <v>60</v>
      </c>
      <c r="C48" s="45">
        <v>-3.2</v>
      </c>
      <c r="D48" s="45">
        <v>0.81</v>
      </c>
      <c r="E48" s="45">
        <v>-385.09</v>
      </c>
      <c r="F48" s="45">
        <v>17.73</v>
      </c>
      <c r="G48" s="45"/>
      <c r="H48" s="45"/>
      <c r="I48" s="44"/>
      <c r="J48" s="10" t="s">
        <v>180</v>
      </c>
      <c r="K48" s="10">
        <v>113.11</v>
      </c>
      <c r="L48" s="45">
        <v>3.8</v>
      </c>
      <c r="M48" s="45">
        <v>4</v>
      </c>
      <c r="N48" s="10">
        <f t="shared" si="1"/>
        <v>0.20000000000000018</v>
      </c>
      <c r="O48" s="10">
        <f t="shared" si="2"/>
        <v>3.9</v>
      </c>
      <c r="P48" s="45">
        <v>-490</v>
      </c>
      <c r="Q48" s="45">
        <v>1</v>
      </c>
      <c r="S48" s="28"/>
    </row>
    <row r="49" spans="1:19" ht="16">
      <c r="A49" s="31" t="s">
        <v>105</v>
      </c>
      <c r="B49" s="53" t="s">
        <v>37</v>
      </c>
      <c r="C49" s="45">
        <v>-5.32</v>
      </c>
      <c r="D49" s="45">
        <v>1.32</v>
      </c>
      <c r="E49" s="45">
        <v>-428.06</v>
      </c>
      <c r="F49" s="45">
        <v>89.69</v>
      </c>
      <c r="G49" s="44">
        <v>119.33</v>
      </c>
      <c r="H49" s="44">
        <v>39.15</v>
      </c>
      <c r="I49" s="44">
        <f t="shared" si="0"/>
        <v>19.574999999999999</v>
      </c>
      <c r="J49" s="10" t="s">
        <v>182</v>
      </c>
      <c r="K49" s="10">
        <v>90.03</v>
      </c>
      <c r="L49" s="45">
        <v>2.9</v>
      </c>
      <c r="M49" s="45">
        <v>2.9</v>
      </c>
      <c r="N49" s="10">
        <f t="shared" si="1"/>
        <v>0</v>
      </c>
      <c r="O49" s="10">
        <f t="shared" si="2"/>
        <v>2.9</v>
      </c>
      <c r="P49" s="45">
        <v>-607.33000000000004</v>
      </c>
      <c r="Q49" s="45">
        <v>41.79</v>
      </c>
      <c r="S49" s="28"/>
    </row>
    <row r="50" spans="1:19" ht="16">
      <c r="A50" s="31" t="s">
        <v>258</v>
      </c>
      <c r="B50" s="53" t="s">
        <v>67</v>
      </c>
      <c r="C50" s="45">
        <v>-3.14</v>
      </c>
      <c r="D50" s="45">
        <v>0.59</v>
      </c>
      <c r="E50" s="45">
        <v>-240.37</v>
      </c>
      <c r="F50" s="45">
        <v>115.52</v>
      </c>
      <c r="G50" s="44">
        <v>44.33</v>
      </c>
      <c r="H50" s="44">
        <v>19.14</v>
      </c>
      <c r="I50" s="44">
        <f t="shared" si="0"/>
        <v>9.57</v>
      </c>
      <c r="J50" s="10" t="s">
        <v>184</v>
      </c>
      <c r="K50" s="10">
        <v>168.12</v>
      </c>
      <c r="L50" s="45">
        <v>3</v>
      </c>
      <c r="M50" s="45">
        <v>3.1</v>
      </c>
      <c r="N50" s="10">
        <f t="shared" si="1"/>
        <v>0.10000000000000009</v>
      </c>
      <c r="O50" s="10">
        <f t="shared" si="2"/>
        <v>3.05</v>
      </c>
      <c r="P50" s="45">
        <v>-515.33000000000004</v>
      </c>
      <c r="Q50" s="45">
        <v>22.72</v>
      </c>
      <c r="S50" s="28"/>
    </row>
    <row r="51" spans="1:19" ht="16">
      <c r="A51" s="31" t="s">
        <v>201</v>
      </c>
      <c r="B51" s="53" t="s">
        <v>64</v>
      </c>
      <c r="C51" s="45">
        <v>-4.04</v>
      </c>
      <c r="D51" s="45">
        <v>7.0000000000000007E-2</v>
      </c>
      <c r="E51" s="45">
        <v>-56.12</v>
      </c>
      <c r="F51" s="45">
        <v>28.94</v>
      </c>
      <c r="G51" s="44">
        <v>112.5</v>
      </c>
      <c r="H51" s="44">
        <v>16.260000000000002</v>
      </c>
      <c r="I51" s="44">
        <f t="shared" si="0"/>
        <v>8.1300000000000008</v>
      </c>
      <c r="J51" s="10" t="s">
        <v>182</v>
      </c>
      <c r="K51" s="10">
        <v>210.22</v>
      </c>
      <c r="L51" s="45">
        <v>6.1</v>
      </c>
      <c r="M51" s="45">
        <v>6.5</v>
      </c>
      <c r="N51" s="10">
        <f t="shared" si="1"/>
        <v>0.40000000000000036</v>
      </c>
      <c r="O51" s="10">
        <f t="shared" si="2"/>
        <v>6.3</v>
      </c>
      <c r="P51" s="45">
        <v>-592.5</v>
      </c>
      <c r="Q51" s="45">
        <v>13.44</v>
      </c>
      <c r="S51" s="28"/>
    </row>
    <row r="52" spans="1:19" ht="16">
      <c r="A52" s="31" t="s">
        <v>134</v>
      </c>
      <c r="B52" s="53" t="s">
        <v>259</v>
      </c>
      <c r="C52" s="45">
        <v>-1.29</v>
      </c>
      <c r="D52" s="45">
        <v>0.73</v>
      </c>
      <c r="E52" s="45">
        <v>18.78</v>
      </c>
      <c r="F52" s="45">
        <v>43.73</v>
      </c>
      <c r="G52" s="44">
        <v>137.66999999999999</v>
      </c>
      <c r="H52" s="44">
        <v>50.16</v>
      </c>
      <c r="I52" s="44">
        <f t="shared" si="0"/>
        <v>25.08</v>
      </c>
      <c r="J52" s="10" t="s">
        <v>184</v>
      </c>
      <c r="K52" s="10">
        <v>302.24</v>
      </c>
      <c r="L52" s="45">
        <v>5.6</v>
      </c>
      <c r="M52" s="45">
        <v>6</v>
      </c>
      <c r="N52" s="10">
        <f t="shared" si="1"/>
        <v>0.40000000000000036</v>
      </c>
      <c r="O52" s="10">
        <f t="shared" si="2"/>
        <v>5.8</v>
      </c>
      <c r="P52" s="45">
        <v>-641.33000000000004</v>
      </c>
      <c r="Q52" s="45">
        <v>53</v>
      </c>
      <c r="S52" s="28"/>
    </row>
    <row r="53" spans="1:19" ht="19">
      <c r="A53" s="31" t="s">
        <v>119</v>
      </c>
      <c r="B53" s="53" t="s">
        <v>53</v>
      </c>
      <c r="C53" s="45">
        <v>0.62</v>
      </c>
      <c r="D53" s="45">
        <v>1.59</v>
      </c>
      <c r="E53" s="45">
        <v>-178.34</v>
      </c>
      <c r="F53" s="45">
        <v>72.67</v>
      </c>
      <c r="G53" s="44">
        <v>17</v>
      </c>
      <c r="H53" s="44">
        <v>7.81</v>
      </c>
      <c r="I53" s="44">
        <f t="shared" si="0"/>
        <v>3.9049999999999998</v>
      </c>
      <c r="J53" s="10" t="s">
        <v>180</v>
      </c>
      <c r="K53" s="10">
        <v>173.17</v>
      </c>
      <c r="L53" s="45">
        <v>3.8</v>
      </c>
      <c r="M53" s="45">
        <v>3.9</v>
      </c>
      <c r="N53" s="10">
        <f t="shared" si="1"/>
        <v>0.10000000000000009</v>
      </c>
      <c r="O53" s="10">
        <f t="shared" si="2"/>
        <v>3.8499999999999996</v>
      </c>
      <c r="P53" s="45">
        <v>-510.33</v>
      </c>
      <c r="Q53" s="45">
        <v>5.51</v>
      </c>
      <c r="S53" s="35"/>
    </row>
    <row r="54" spans="1:19" ht="16">
      <c r="A54" s="31" t="s">
        <v>123</v>
      </c>
      <c r="B54" s="53" t="s">
        <v>58</v>
      </c>
      <c r="C54" s="45">
        <v>-7.0000000000000007E-2</v>
      </c>
      <c r="D54" s="45">
        <v>2.39</v>
      </c>
      <c r="E54" s="45">
        <v>-17.02</v>
      </c>
      <c r="F54" s="45">
        <v>27.13</v>
      </c>
      <c r="G54" s="44">
        <v>27.33</v>
      </c>
      <c r="H54" s="44">
        <v>23.97</v>
      </c>
      <c r="I54" s="44">
        <f t="shared" si="0"/>
        <v>11.984999999999999</v>
      </c>
      <c r="J54" s="10" t="s">
        <v>180</v>
      </c>
      <c r="K54" s="10">
        <v>137.13999999999999</v>
      </c>
      <c r="L54" s="45">
        <v>5.6</v>
      </c>
      <c r="M54" s="45">
        <v>5.8</v>
      </c>
      <c r="N54" s="10">
        <f t="shared" si="1"/>
        <v>0.20000000000000018</v>
      </c>
      <c r="O54" s="10">
        <f t="shared" si="2"/>
        <v>5.6999999999999993</v>
      </c>
      <c r="P54" s="45">
        <v>-533.33000000000004</v>
      </c>
      <c r="Q54" s="45">
        <v>18.88</v>
      </c>
      <c r="S54" s="28"/>
    </row>
    <row r="55" spans="1:19" ht="16">
      <c r="A55" s="31" t="s">
        <v>97</v>
      </c>
      <c r="B55" s="53" t="s">
        <v>29</v>
      </c>
      <c r="C55" s="45">
        <v>-4.3600000000000003</v>
      </c>
      <c r="D55" s="45">
        <v>0.9</v>
      </c>
      <c r="E55" s="45">
        <v>-136.5</v>
      </c>
      <c r="F55" s="45">
        <v>77.14</v>
      </c>
      <c r="G55" s="44">
        <v>127.67</v>
      </c>
      <c r="H55" s="44">
        <v>64.760000000000005</v>
      </c>
      <c r="I55" s="44">
        <f t="shared" si="0"/>
        <v>32.380000000000003</v>
      </c>
      <c r="J55" s="10" t="s">
        <v>184</v>
      </c>
      <c r="K55" s="10">
        <v>138.12</v>
      </c>
      <c r="L55" s="45">
        <v>3.1</v>
      </c>
      <c r="M55" s="45">
        <v>3.2</v>
      </c>
      <c r="N55" s="10">
        <f t="shared" si="1"/>
        <v>0.10000000000000009</v>
      </c>
      <c r="O55" s="10">
        <f t="shared" si="2"/>
        <v>3.1500000000000004</v>
      </c>
      <c r="P55" s="45">
        <v>-623.33000000000004</v>
      </c>
      <c r="Q55" s="45">
        <v>68.040000000000006</v>
      </c>
      <c r="S55" s="28"/>
    </row>
    <row r="56" spans="1:19" ht="16">
      <c r="A56" s="31" t="s">
        <v>156</v>
      </c>
      <c r="B56" s="53" t="s">
        <v>260</v>
      </c>
      <c r="C56" s="45">
        <v>1.34</v>
      </c>
      <c r="D56" s="45">
        <v>0.61</v>
      </c>
      <c r="E56" s="45">
        <v>34.39</v>
      </c>
      <c r="F56" s="45">
        <v>17.8</v>
      </c>
      <c r="G56" s="44">
        <v>90</v>
      </c>
      <c r="H56" s="44">
        <v>19.649999999999999</v>
      </c>
      <c r="I56" s="44">
        <f t="shared" si="0"/>
        <v>9.8249999999999993</v>
      </c>
      <c r="J56" s="10" t="s">
        <v>182</v>
      </c>
      <c r="K56" s="10">
        <v>136.08000000000001</v>
      </c>
      <c r="L56" s="45">
        <v>6.3</v>
      </c>
      <c r="M56" s="45">
        <v>6.3</v>
      </c>
      <c r="N56" s="10">
        <f t="shared" si="1"/>
        <v>0</v>
      </c>
      <c r="O56" s="10">
        <f t="shared" si="2"/>
        <v>6.3</v>
      </c>
      <c r="P56" s="45">
        <v>-563.25</v>
      </c>
      <c r="Q56" s="45">
        <v>28.41</v>
      </c>
      <c r="S56" s="28"/>
    </row>
    <row r="57" spans="1:19" ht="16">
      <c r="A57" s="31" t="s">
        <v>162</v>
      </c>
      <c r="B57" s="53" t="s">
        <v>72</v>
      </c>
      <c r="C57" s="45">
        <v>-1.17</v>
      </c>
      <c r="D57" s="45">
        <v>0.76</v>
      </c>
      <c r="E57" s="45">
        <v>-17.23</v>
      </c>
      <c r="F57" s="45">
        <v>6.3</v>
      </c>
      <c r="G57" s="44">
        <v>118</v>
      </c>
      <c r="H57" s="44">
        <v>16.09</v>
      </c>
      <c r="I57" s="44">
        <f t="shared" si="0"/>
        <v>8.0449999999999999</v>
      </c>
      <c r="J57" s="10" t="s">
        <v>184</v>
      </c>
      <c r="K57" s="10">
        <v>144.1</v>
      </c>
      <c r="L57" s="45">
        <v>6.3</v>
      </c>
      <c r="M57" s="45">
        <v>6.2</v>
      </c>
      <c r="N57" s="10">
        <f t="shared" si="1"/>
        <v>-9.9999999999999645E-2</v>
      </c>
      <c r="O57" s="10">
        <f t="shared" si="2"/>
        <v>6.25</v>
      </c>
      <c r="P57" s="45">
        <v>-613</v>
      </c>
      <c r="Q57" s="45">
        <v>9.17</v>
      </c>
      <c r="S57" s="28"/>
    </row>
    <row r="58" spans="1:19" ht="16">
      <c r="A58" s="31" t="s">
        <v>158</v>
      </c>
      <c r="B58" s="53" t="s">
        <v>261</v>
      </c>
      <c r="C58" s="45">
        <v>12.41</v>
      </c>
      <c r="D58" s="45">
        <v>0.2</v>
      </c>
      <c r="E58" s="45">
        <v>92.3</v>
      </c>
      <c r="F58" s="45">
        <v>2.83</v>
      </c>
      <c r="G58" s="44">
        <v>178.5</v>
      </c>
      <c r="H58" s="44">
        <v>4.95</v>
      </c>
      <c r="I58" s="44">
        <f t="shared" si="0"/>
        <v>2.4750000000000001</v>
      </c>
      <c r="J58" s="10" t="s">
        <v>185</v>
      </c>
      <c r="K58" s="10">
        <v>171.31</v>
      </c>
      <c r="L58" s="45">
        <v>8.1</v>
      </c>
      <c r="M58" s="45">
        <v>8.1999999999999993</v>
      </c>
      <c r="N58" s="10">
        <f t="shared" si="1"/>
        <v>9.9999999999999645E-2</v>
      </c>
      <c r="O58" s="10">
        <f t="shared" si="2"/>
        <v>8.1499999999999986</v>
      </c>
      <c r="P58" s="45">
        <v>-648</v>
      </c>
      <c r="Q58" s="45">
        <v>36.770000000000003</v>
      </c>
      <c r="S58" s="28"/>
    </row>
    <row r="59" spans="1:19" ht="16">
      <c r="A59" s="31" t="s">
        <v>161</v>
      </c>
      <c r="B59" s="53" t="s">
        <v>68</v>
      </c>
      <c r="C59" s="45">
        <v>-1.21</v>
      </c>
      <c r="D59" s="45">
        <v>0.84</v>
      </c>
      <c r="E59" s="45">
        <v>-44.44</v>
      </c>
      <c r="F59" s="45">
        <v>25.98</v>
      </c>
      <c r="G59" s="44">
        <v>82.33</v>
      </c>
      <c r="H59" s="44">
        <v>8.6199999999999992</v>
      </c>
      <c r="I59" s="44">
        <f t="shared" si="0"/>
        <v>4.3099999999999996</v>
      </c>
      <c r="J59" s="10" t="s">
        <v>187</v>
      </c>
      <c r="K59" s="10">
        <v>348.48</v>
      </c>
      <c r="L59" s="45">
        <v>7.3</v>
      </c>
      <c r="M59" s="45">
        <v>7</v>
      </c>
      <c r="N59" s="10">
        <f t="shared" si="1"/>
        <v>-0.29999999999999982</v>
      </c>
      <c r="O59" s="10">
        <f t="shared" si="2"/>
        <v>7.15</v>
      </c>
      <c r="P59" s="45">
        <v>-572.33000000000004</v>
      </c>
      <c r="Q59" s="45">
        <v>5.03</v>
      </c>
      <c r="S59" s="28"/>
    </row>
    <row r="60" spans="1:19" ht="16">
      <c r="A60" s="31" t="s">
        <v>163</v>
      </c>
      <c r="B60" s="53" t="s">
        <v>82</v>
      </c>
      <c r="C60" s="45">
        <v>-0.61</v>
      </c>
      <c r="D60" s="45">
        <v>0.77</v>
      </c>
      <c r="E60" s="45">
        <v>-16.239999999999998</v>
      </c>
      <c r="F60" s="45">
        <v>24.38</v>
      </c>
      <c r="G60" s="44">
        <v>148.66999999999999</v>
      </c>
      <c r="H60" s="44">
        <v>14.98</v>
      </c>
      <c r="I60" s="44">
        <f t="shared" si="0"/>
        <v>7.49</v>
      </c>
      <c r="J60" s="10" t="s">
        <v>189</v>
      </c>
      <c r="K60" s="10">
        <v>293.38</v>
      </c>
      <c r="L60" s="45">
        <v>5.5</v>
      </c>
      <c r="M60" s="45">
        <v>6.1</v>
      </c>
      <c r="N60" s="10">
        <f t="shared" si="1"/>
        <v>0.59999999999999964</v>
      </c>
      <c r="O60" s="10">
        <f t="shared" si="2"/>
        <v>5.8</v>
      </c>
      <c r="P60" s="45">
        <v>-646.33000000000004</v>
      </c>
      <c r="Q60" s="45">
        <v>9.8699999999999992</v>
      </c>
      <c r="S60" s="28"/>
    </row>
    <row r="61" spans="1:19" ht="16">
      <c r="A61" s="31" t="s">
        <v>157</v>
      </c>
      <c r="B61" s="53" t="s">
        <v>262</v>
      </c>
      <c r="C61" s="45">
        <v>15.85</v>
      </c>
      <c r="D61" s="45">
        <v>3.97</v>
      </c>
      <c r="E61" s="45">
        <v>90.56</v>
      </c>
      <c r="F61" s="45">
        <v>4.3</v>
      </c>
      <c r="G61" s="44">
        <v>115.33</v>
      </c>
      <c r="H61" s="44">
        <v>1.53</v>
      </c>
      <c r="I61" s="44">
        <f t="shared" si="0"/>
        <v>0.76500000000000001</v>
      </c>
      <c r="J61" s="10" t="s">
        <v>183</v>
      </c>
      <c r="K61" s="10">
        <v>114.1</v>
      </c>
      <c r="L61" s="45">
        <v>6.4</v>
      </c>
      <c r="M61" s="45">
        <v>6.1</v>
      </c>
      <c r="N61" s="10">
        <f t="shared" si="1"/>
        <v>-0.30000000000000071</v>
      </c>
      <c r="O61" s="10">
        <f t="shared" si="2"/>
        <v>6.25</v>
      </c>
      <c r="P61" s="45">
        <v>-571.5</v>
      </c>
      <c r="Q61" s="45">
        <v>49.92</v>
      </c>
      <c r="S61" s="28"/>
    </row>
    <row r="62" spans="1:19" ht="16">
      <c r="A62" s="31" t="s">
        <v>116</v>
      </c>
      <c r="B62" s="53" t="s">
        <v>50</v>
      </c>
      <c r="C62" s="45">
        <v>9.24</v>
      </c>
      <c r="D62" s="45">
        <v>0.82</v>
      </c>
      <c r="E62" s="45">
        <v>84.74</v>
      </c>
      <c r="F62" s="45">
        <v>0.12</v>
      </c>
      <c r="G62" s="44">
        <v>21</v>
      </c>
      <c r="H62" s="44">
        <v>4</v>
      </c>
      <c r="I62" s="44">
        <f t="shared" si="0"/>
        <v>2</v>
      </c>
      <c r="J62" s="10" t="s">
        <v>186</v>
      </c>
      <c r="K62" s="10">
        <v>255.32</v>
      </c>
      <c r="L62" s="45">
        <v>5.0999999999999996</v>
      </c>
      <c r="M62" s="45">
        <v>5.5</v>
      </c>
      <c r="N62" s="10">
        <f t="shared" si="1"/>
        <v>0.40000000000000036</v>
      </c>
      <c r="O62" s="10">
        <f t="shared" si="2"/>
        <v>5.3</v>
      </c>
      <c r="P62" s="45">
        <v>-515.33000000000004</v>
      </c>
      <c r="Q62" s="45">
        <v>6.11</v>
      </c>
      <c r="S62" s="28"/>
    </row>
    <row r="63" spans="1:19" ht="16">
      <c r="A63" s="31" t="s">
        <v>101</v>
      </c>
      <c r="B63" s="53" t="s">
        <v>33</v>
      </c>
      <c r="C63" s="45">
        <v>-0.09</v>
      </c>
      <c r="D63" s="45">
        <v>0.71</v>
      </c>
      <c r="E63" s="45">
        <v>-0.35</v>
      </c>
      <c r="F63" s="45">
        <v>9.9700000000000006</v>
      </c>
      <c r="G63" s="44">
        <v>87.67</v>
      </c>
      <c r="H63" s="44">
        <v>14.36</v>
      </c>
      <c r="I63" s="44">
        <f t="shared" si="0"/>
        <v>7.18</v>
      </c>
      <c r="J63" s="10" t="s">
        <v>180</v>
      </c>
      <c r="K63" s="10">
        <v>180.16</v>
      </c>
      <c r="L63" s="45">
        <v>5.5</v>
      </c>
      <c r="M63" s="45">
        <v>5.4</v>
      </c>
      <c r="N63" s="10">
        <f t="shared" si="1"/>
        <v>-9.9999999999999645E-2</v>
      </c>
      <c r="O63" s="10">
        <f t="shared" si="2"/>
        <v>5.45</v>
      </c>
      <c r="P63" s="45">
        <v>-585</v>
      </c>
      <c r="Q63" s="45">
        <v>17.350000000000001</v>
      </c>
      <c r="S63" s="28"/>
    </row>
    <row r="64" spans="1:19" ht="16">
      <c r="A64" s="31" t="s">
        <v>100</v>
      </c>
      <c r="B64" s="53" t="s">
        <v>32</v>
      </c>
      <c r="C64" s="45">
        <v>-0.82</v>
      </c>
      <c r="D64" s="45">
        <v>1.39</v>
      </c>
      <c r="E64" s="45">
        <v>-66.95</v>
      </c>
      <c r="F64" s="45">
        <v>46.29</v>
      </c>
      <c r="G64" s="44">
        <v>85.67</v>
      </c>
      <c r="H64" s="44">
        <v>10.41</v>
      </c>
      <c r="I64" s="44">
        <f t="shared" si="0"/>
        <v>5.2050000000000001</v>
      </c>
      <c r="J64" s="10" t="s">
        <v>180</v>
      </c>
      <c r="K64" s="10">
        <v>180.16</v>
      </c>
      <c r="L64" s="45">
        <v>6.2</v>
      </c>
      <c r="M64" s="45">
        <v>6.1</v>
      </c>
      <c r="N64" s="10">
        <f t="shared" si="1"/>
        <v>-0.10000000000000053</v>
      </c>
      <c r="O64" s="10">
        <f t="shared" si="2"/>
        <v>6.15</v>
      </c>
      <c r="P64" s="45">
        <v>-581.66999999999996</v>
      </c>
      <c r="Q64" s="45">
        <v>10.5</v>
      </c>
      <c r="S64" s="28"/>
    </row>
    <row r="65" spans="1:22" ht="16">
      <c r="A65" s="31" t="s">
        <v>143</v>
      </c>
      <c r="B65" s="53" t="s">
        <v>51</v>
      </c>
      <c r="C65" s="45">
        <v>-4.1900000000000004</v>
      </c>
      <c r="D65" s="45">
        <v>0.26</v>
      </c>
      <c r="E65" s="45">
        <v>-258.02</v>
      </c>
      <c r="F65" s="45">
        <v>33.36</v>
      </c>
      <c r="G65" s="44">
        <v>6.33</v>
      </c>
      <c r="H65" s="44">
        <v>1.53</v>
      </c>
      <c r="I65" s="44">
        <f t="shared" si="0"/>
        <v>0.76500000000000001</v>
      </c>
      <c r="J65" s="10" t="s">
        <v>187</v>
      </c>
      <c r="K65" s="10">
        <v>138.19</v>
      </c>
      <c r="L65" s="45">
        <v>3.1</v>
      </c>
      <c r="M65" s="45">
        <v>3.2</v>
      </c>
      <c r="N65" s="10">
        <f t="shared" si="1"/>
        <v>0.10000000000000009</v>
      </c>
      <c r="O65" s="10">
        <f t="shared" si="2"/>
        <v>3.1500000000000004</v>
      </c>
      <c r="P65" s="45">
        <v>-487</v>
      </c>
      <c r="Q65" s="45">
        <v>9.17</v>
      </c>
      <c r="S65" s="28"/>
    </row>
    <row r="66" spans="1:22" ht="16">
      <c r="A66" s="31" t="s">
        <v>132</v>
      </c>
      <c r="B66" s="53" t="s">
        <v>69</v>
      </c>
      <c r="C66" s="45">
        <v>-2.76</v>
      </c>
      <c r="D66" s="45">
        <v>0.11</v>
      </c>
      <c r="E66" s="45">
        <v>-345.36</v>
      </c>
      <c r="F66" s="45">
        <v>20.09</v>
      </c>
      <c r="G66" s="44">
        <v>30</v>
      </c>
      <c r="H66" s="44">
        <v>18.190000000000001</v>
      </c>
      <c r="I66" s="44">
        <f t="shared" si="0"/>
        <v>9.0950000000000006</v>
      </c>
      <c r="J66" s="10" t="s">
        <v>183</v>
      </c>
      <c r="K66" s="10">
        <v>106.14</v>
      </c>
      <c r="L66" s="45">
        <v>3.1</v>
      </c>
      <c r="M66" s="45">
        <v>3.2</v>
      </c>
      <c r="N66" s="10">
        <f t="shared" si="1"/>
        <v>0.10000000000000009</v>
      </c>
      <c r="O66" s="10">
        <f t="shared" si="2"/>
        <v>3.1500000000000004</v>
      </c>
      <c r="P66" s="45">
        <v>-516</v>
      </c>
      <c r="Q66" s="45">
        <v>15.39</v>
      </c>
      <c r="S66" s="28"/>
    </row>
    <row r="67" spans="1:22" ht="16">
      <c r="A67" s="31" t="s">
        <v>117</v>
      </c>
      <c r="B67" s="53" t="s">
        <v>51</v>
      </c>
      <c r="C67" s="45">
        <v>1.19</v>
      </c>
      <c r="D67" s="45">
        <v>0.41</v>
      </c>
      <c r="E67" s="45">
        <v>-54.36</v>
      </c>
      <c r="F67" s="45">
        <v>45.36</v>
      </c>
      <c r="G67" s="44">
        <v>26.33</v>
      </c>
      <c r="H67" s="44">
        <v>27.02</v>
      </c>
      <c r="I67" s="44">
        <f t="shared" ref="I67:I71" si="3">H67/2</f>
        <v>13.51</v>
      </c>
      <c r="J67" s="10" t="s">
        <v>187</v>
      </c>
      <c r="K67" s="10">
        <v>154.19</v>
      </c>
      <c r="L67" s="45">
        <v>3.4</v>
      </c>
      <c r="M67" s="45">
        <v>3.9</v>
      </c>
      <c r="N67" s="10">
        <f t="shared" si="1"/>
        <v>0.5</v>
      </c>
      <c r="O67" s="10">
        <f t="shared" si="2"/>
        <v>3.65</v>
      </c>
      <c r="P67" s="45">
        <v>-516</v>
      </c>
      <c r="Q67" s="45">
        <v>24.02</v>
      </c>
      <c r="S67" s="28"/>
    </row>
    <row r="68" spans="1:22" ht="16">
      <c r="A68" s="31" t="s">
        <v>114</v>
      </c>
      <c r="B68" s="53" t="s">
        <v>47</v>
      </c>
      <c r="C68" s="45">
        <v>2.68</v>
      </c>
      <c r="D68" s="45">
        <v>0.78</v>
      </c>
      <c r="E68" s="45">
        <v>43.18</v>
      </c>
      <c r="F68" s="45">
        <v>3.56</v>
      </c>
      <c r="G68" s="44">
        <v>100</v>
      </c>
      <c r="H68" s="44">
        <v>18.190000000000001</v>
      </c>
      <c r="I68" s="44">
        <f t="shared" si="3"/>
        <v>9.0950000000000006</v>
      </c>
      <c r="J68" s="10" t="s">
        <v>185</v>
      </c>
      <c r="K68" s="10">
        <v>76.12</v>
      </c>
      <c r="L68" s="45">
        <v>5.9</v>
      </c>
      <c r="M68" s="45">
        <v>6</v>
      </c>
      <c r="N68" s="10">
        <f t="shared" ref="N68:N71" si="4">M68-L68</f>
        <v>9.9999999999999645E-2</v>
      </c>
      <c r="O68" s="10">
        <f t="shared" ref="O68:O71" si="5">AVERAGE(L68:M68)</f>
        <v>5.95</v>
      </c>
      <c r="P68" s="45">
        <v>-598</v>
      </c>
      <c r="Q68" s="45">
        <v>6.08</v>
      </c>
      <c r="S68" s="28"/>
    </row>
    <row r="69" spans="1:22" ht="16">
      <c r="A69" s="31" t="s">
        <v>130</v>
      </c>
      <c r="B69" s="53" t="s">
        <v>66</v>
      </c>
      <c r="C69" s="45">
        <v>-0.88</v>
      </c>
      <c r="D69" s="45">
        <v>0.85</v>
      </c>
      <c r="E69" s="45">
        <v>-8.65</v>
      </c>
      <c r="F69" s="45">
        <v>8.0500000000000007</v>
      </c>
      <c r="G69" s="44">
        <v>72.67</v>
      </c>
      <c r="H69" s="44">
        <v>13.01</v>
      </c>
      <c r="I69" s="44">
        <f t="shared" si="3"/>
        <v>6.5049999999999999</v>
      </c>
      <c r="J69" s="10" t="s">
        <v>189</v>
      </c>
      <c r="K69" s="10">
        <v>191.27</v>
      </c>
      <c r="L69" s="45">
        <v>9.5</v>
      </c>
      <c r="M69" s="45">
        <v>8.5</v>
      </c>
      <c r="N69" s="10">
        <f t="shared" si="4"/>
        <v>-1</v>
      </c>
      <c r="O69" s="10">
        <f t="shared" si="5"/>
        <v>9</v>
      </c>
      <c r="P69" s="45">
        <v>-571.66999999999996</v>
      </c>
      <c r="Q69" s="45">
        <v>19.399999999999999</v>
      </c>
      <c r="S69" s="28"/>
    </row>
    <row r="70" spans="1:22" ht="19">
      <c r="A70" s="31" t="s">
        <v>113</v>
      </c>
      <c r="B70" s="53" t="s">
        <v>46</v>
      </c>
      <c r="C70" s="45">
        <v>-5.85</v>
      </c>
      <c r="D70" s="45">
        <v>1.2</v>
      </c>
      <c r="E70" s="45">
        <v>-185.58</v>
      </c>
      <c r="F70" s="45">
        <v>170.14</v>
      </c>
      <c r="G70" s="10"/>
      <c r="I70" s="44"/>
      <c r="J70" s="10" t="s">
        <v>179</v>
      </c>
      <c r="K70" s="10">
        <v>160.22</v>
      </c>
      <c r="L70" s="45">
        <v>10.5</v>
      </c>
      <c r="M70" s="45">
        <v>9.3000000000000007</v>
      </c>
      <c r="N70" s="10">
        <f t="shared" si="4"/>
        <v>-1.1999999999999993</v>
      </c>
      <c r="O70" s="10">
        <f t="shared" si="5"/>
        <v>9.9</v>
      </c>
      <c r="P70" s="46">
        <v>-1012.67</v>
      </c>
      <c r="Q70" s="45">
        <v>60.96</v>
      </c>
      <c r="R70" s="33"/>
      <c r="S70" s="35"/>
    </row>
    <row r="71" spans="1:22" ht="16">
      <c r="A71" s="31" t="s">
        <v>145</v>
      </c>
      <c r="B71" s="53" t="s">
        <v>89</v>
      </c>
      <c r="C71" s="45">
        <v>2.2400000000000002</v>
      </c>
      <c r="D71" s="45">
        <v>1.77</v>
      </c>
      <c r="E71" s="45">
        <v>-17.23</v>
      </c>
      <c r="F71" s="45">
        <v>31.69</v>
      </c>
      <c r="G71" s="44">
        <v>52.33</v>
      </c>
      <c r="H71" s="44">
        <v>33.56</v>
      </c>
      <c r="I71" s="44">
        <f t="shared" si="3"/>
        <v>16.78</v>
      </c>
      <c r="J71" s="10" t="s">
        <v>184</v>
      </c>
      <c r="K71" s="10">
        <v>152.15</v>
      </c>
      <c r="L71" s="45">
        <v>4.9000000000000004</v>
      </c>
      <c r="M71" s="45">
        <v>5.0999999999999996</v>
      </c>
      <c r="N71" s="10">
        <f t="shared" si="4"/>
        <v>0.19999999999999929</v>
      </c>
      <c r="O71" s="10">
        <f t="shared" si="5"/>
        <v>5</v>
      </c>
      <c r="P71" s="45">
        <v>-541.33000000000004</v>
      </c>
      <c r="Q71" s="45">
        <v>35.56</v>
      </c>
      <c r="R71" s="33"/>
      <c r="S71" s="28"/>
    </row>
    <row r="72" spans="1:22" ht="16">
      <c r="A72" s="28"/>
      <c r="B72" s="28"/>
      <c r="P72" s="45"/>
      <c r="Q72" s="45"/>
      <c r="S72" s="28"/>
    </row>
    <row r="73" spans="1:22" ht="16">
      <c r="T73" s="28"/>
      <c r="U73" s="28"/>
      <c r="V7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 Pipeline</vt:lpstr>
      <vt:lpstr>data</vt:lpstr>
      <vt:lpstr>Averages_LPRavg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Corral-Casas, Carlos</cp:lastModifiedBy>
  <dcterms:created xsi:type="dcterms:W3CDTF">2021-10-01T18:37:49Z</dcterms:created>
  <dcterms:modified xsi:type="dcterms:W3CDTF">2025-06-04T08:38:39Z</dcterms:modified>
</cp:coreProperties>
</file>